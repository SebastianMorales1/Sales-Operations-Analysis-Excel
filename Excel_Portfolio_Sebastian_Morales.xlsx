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pivotTables/pivotTable4.xml" ContentType="application/vnd.openxmlformats-officedocument.spreadsheetml.pivotTable+xml"/>
  <Override PartName="/xl/tables/table3.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SebasLand\profesional\IT topics\Portfolio_data_analyst\Sales-Operations-Analysis-Excel\"/>
    </mc:Choice>
  </mc:AlternateContent>
  <xr:revisionPtr revIDLastSave="0" documentId="13_ncr:1_{E68678B8-D6DC-4CC4-A708-C63D85F00095}" xr6:coauthVersionLast="47" xr6:coauthVersionMax="47" xr10:uidLastSave="{00000000-0000-0000-0000-000000000000}"/>
  <bookViews>
    <workbookView xWindow="-108" yWindow="-108" windowWidth="23256" windowHeight="12456" xr2:uid="{2D89D7BC-52FB-444D-A4D3-DAEB37E0F9BA}"/>
  </bookViews>
  <sheets>
    <sheet name="TableSales" sheetId="8" r:id="rId1"/>
    <sheet name="Main Database" sheetId="2" state="hidden" r:id="rId2"/>
    <sheet name="Text to Columns" sheetId="1" state="hidden" r:id="rId3"/>
    <sheet name="Sheet1" sheetId="4" state="hidden" r:id="rId4"/>
    <sheet name="Vlookup" sheetId="3" state="hidden" r:id="rId5"/>
    <sheet name="Dashboards" sheetId="5" r:id="rId6"/>
    <sheet name="Calculus_DB" sheetId="7" state="hidden" r:id="rId7"/>
  </sheets>
  <externalReferences>
    <externalReference r:id="rId8"/>
  </externalReferences>
  <definedNames>
    <definedName name="_xlnm._FilterDatabase" localSheetId="1" hidden="1">'Main Database'!$B$8:$H$460</definedName>
    <definedName name="ctable">#REF!</definedName>
    <definedName name="ExternalData_1" localSheetId="0" hidden="1">TableSales!$A$1:$I$454</definedName>
    <definedName name="PmtList">[1]!tblPmt[Payment]</definedName>
    <definedName name="ServList">[1]!tblServ[Service]</definedName>
    <definedName name="Slicer_Date">#N/A</definedName>
    <definedName name="Slicer_Months__Date1">#N/A</definedName>
    <definedName name="Slicer_Region">#N/A</definedName>
    <definedName name="Slicer_Salesperson">#N/A</definedName>
    <definedName name="Slicer_Years__Date1">#N/A</definedName>
    <definedName name="TechList">[1]!tblTech[LeadTech]</definedName>
    <definedName name="TechNum">[1]!tblRates[Techs]</definedName>
    <definedName name="TechRate">[1]!tblRates[LbrRate]</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61" i="2" l="1"/>
  <c r="J10" i="2"/>
  <c r="K10" i="2"/>
  <c r="J11" i="2"/>
  <c r="K11" i="2"/>
  <c r="J12" i="2"/>
  <c r="K12" i="2"/>
  <c r="J13" i="2"/>
  <c r="K13" i="2"/>
  <c r="J14" i="2"/>
  <c r="K14" i="2"/>
  <c r="J15" i="2"/>
  <c r="K15" i="2"/>
  <c r="J16" i="2"/>
  <c r="K16" i="2"/>
  <c r="J17" i="2"/>
  <c r="K17" i="2"/>
  <c r="J18" i="2"/>
  <c r="K18" i="2"/>
  <c r="J19" i="2"/>
  <c r="K19" i="2"/>
  <c r="J20" i="2"/>
  <c r="K20" i="2"/>
  <c r="J21" i="2"/>
  <c r="K21" i="2"/>
  <c r="J22" i="2"/>
  <c r="K22" i="2"/>
  <c r="J23" i="2"/>
  <c r="K23" i="2"/>
  <c r="J24" i="2"/>
  <c r="K24" i="2"/>
  <c r="J25" i="2"/>
  <c r="K25" i="2"/>
  <c r="J26" i="2"/>
  <c r="K26" i="2"/>
  <c r="J27" i="2"/>
  <c r="K27" i="2"/>
  <c r="J28" i="2"/>
  <c r="K28" i="2"/>
  <c r="J29" i="2"/>
  <c r="K29" i="2"/>
  <c r="J30" i="2"/>
  <c r="K30" i="2"/>
  <c r="J31" i="2"/>
  <c r="K31" i="2"/>
  <c r="J32" i="2"/>
  <c r="K32" i="2"/>
  <c r="J33" i="2"/>
  <c r="K33" i="2"/>
  <c r="J34" i="2"/>
  <c r="K34" i="2"/>
  <c r="J35" i="2"/>
  <c r="K35" i="2"/>
  <c r="J36" i="2"/>
  <c r="K36" i="2"/>
  <c r="J37" i="2"/>
  <c r="K37" i="2"/>
  <c r="J38" i="2"/>
  <c r="K38" i="2"/>
  <c r="J39" i="2"/>
  <c r="K39" i="2"/>
  <c r="J40" i="2"/>
  <c r="K40" i="2"/>
  <c r="J41" i="2"/>
  <c r="K41" i="2"/>
  <c r="J42" i="2"/>
  <c r="K42" i="2"/>
  <c r="J43" i="2"/>
  <c r="K43" i="2"/>
  <c r="J44" i="2"/>
  <c r="K44" i="2"/>
  <c r="J45" i="2"/>
  <c r="K45" i="2"/>
  <c r="J46" i="2"/>
  <c r="K46" i="2"/>
  <c r="J47" i="2"/>
  <c r="K47" i="2"/>
  <c r="J48" i="2"/>
  <c r="K48" i="2"/>
  <c r="J49" i="2"/>
  <c r="K49" i="2"/>
  <c r="J50" i="2"/>
  <c r="K50" i="2"/>
  <c r="J51" i="2"/>
  <c r="K51" i="2"/>
  <c r="J52" i="2"/>
  <c r="K52" i="2"/>
  <c r="J53" i="2"/>
  <c r="K53" i="2"/>
  <c r="J54" i="2"/>
  <c r="K54" i="2"/>
  <c r="J55" i="2"/>
  <c r="K55" i="2"/>
  <c r="J56" i="2"/>
  <c r="K56" i="2"/>
  <c r="J57" i="2"/>
  <c r="K57" i="2"/>
  <c r="J58" i="2"/>
  <c r="K58" i="2"/>
  <c r="J59" i="2"/>
  <c r="K59" i="2"/>
  <c r="J60" i="2"/>
  <c r="K60" i="2"/>
  <c r="J61" i="2"/>
  <c r="K61" i="2"/>
  <c r="J62" i="2"/>
  <c r="K62" i="2"/>
  <c r="J63" i="2"/>
  <c r="K63" i="2"/>
  <c r="J64" i="2"/>
  <c r="K64" i="2"/>
  <c r="J65" i="2"/>
  <c r="K65" i="2"/>
  <c r="J66" i="2"/>
  <c r="K66" i="2"/>
  <c r="J67" i="2"/>
  <c r="K67" i="2"/>
  <c r="J68" i="2"/>
  <c r="K68" i="2"/>
  <c r="J69" i="2"/>
  <c r="K69" i="2"/>
  <c r="J70" i="2"/>
  <c r="K70" i="2"/>
  <c r="J71" i="2"/>
  <c r="K71" i="2"/>
  <c r="J72" i="2"/>
  <c r="K72" i="2"/>
  <c r="J73" i="2"/>
  <c r="K73" i="2"/>
  <c r="J74" i="2"/>
  <c r="K74" i="2"/>
  <c r="J75" i="2"/>
  <c r="K75" i="2"/>
  <c r="J76" i="2"/>
  <c r="K76" i="2"/>
  <c r="J77" i="2"/>
  <c r="K77" i="2"/>
  <c r="J78" i="2"/>
  <c r="K78" i="2"/>
  <c r="J79" i="2"/>
  <c r="K79" i="2"/>
  <c r="J80" i="2"/>
  <c r="K80" i="2"/>
  <c r="J81" i="2"/>
  <c r="K81" i="2"/>
  <c r="J82" i="2"/>
  <c r="K82" i="2"/>
  <c r="J83" i="2"/>
  <c r="K83" i="2"/>
  <c r="J84" i="2"/>
  <c r="K84" i="2"/>
  <c r="J85" i="2"/>
  <c r="K85" i="2"/>
  <c r="J86" i="2"/>
  <c r="K86" i="2"/>
  <c r="J87" i="2"/>
  <c r="K87" i="2"/>
  <c r="J88" i="2"/>
  <c r="K88" i="2"/>
  <c r="J89" i="2"/>
  <c r="K89" i="2"/>
  <c r="J90" i="2"/>
  <c r="K90" i="2"/>
  <c r="J91" i="2"/>
  <c r="K91" i="2"/>
  <c r="J92" i="2"/>
  <c r="K92" i="2"/>
  <c r="J93" i="2"/>
  <c r="K93" i="2"/>
  <c r="J94" i="2"/>
  <c r="K94" i="2"/>
  <c r="J95" i="2"/>
  <c r="K95" i="2"/>
  <c r="J96" i="2"/>
  <c r="K96" i="2"/>
  <c r="J97" i="2"/>
  <c r="K97" i="2"/>
  <c r="J98" i="2"/>
  <c r="K98" i="2"/>
  <c r="J99" i="2"/>
  <c r="K99" i="2"/>
  <c r="J100" i="2"/>
  <c r="K100" i="2"/>
  <c r="J101" i="2"/>
  <c r="K101" i="2"/>
  <c r="J102" i="2"/>
  <c r="K102" i="2"/>
  <c r="J103" i="2"/>
  <c r="K103" i="2"/>
  <c r="J104" i="2"/>
  <c r="K104" i="2"/>
  <c r="J105" i="2"/>
  <c r="K105" i="2"/>
  <c r="J106" i="2"/>
  <c r="K106" i="2"/>
  <c r="J107" i="2"/>
  <c r="K107" i="2"/>
  <c r="J108" i="2"/>
  <c r="K108" i="2"/>
  <c r="J109" i="2"/>
  <c r="K109" i="2"/>
  <c r="J110" i="2"/>
  <c r="K110" i="2"/>
  <c r="J111" i="2"/>
  <c r="K111" i="2"/>
  <c r="J112" i="2"/>
  <c r="K112" i="2"/>
  <c r="J113" i="2"/>
  <c r="K113" i="2"/>
  <c r="J114" i="2"/>
  <c r="K114" i="2"/>
  <c r="J115" i="2"/>
  <c r="K115" i="2"/>
  <c r="J116" i="2"/>
  <c r="K116" i="2"/>
  <c r="J117" i="2"/>
  <c r="K117" i="2"/>
  <c r="J118" i="2"/>
  <c r="K118" i="2"/>
  <c r="J119" i="2"/>
  <c r="K119" i="2"/>
  <c r="J120" i="2"/>
  <c r="K120" i="2"/>
  <c r="J121" i="2"/>
  <c r="K121" i="2"/>
  <c r="J122" i="2"/>
  <c r="K122" i="2"/>
  <c r="J123" i="2"/>
  <c r="K123" i="2"/>
  <c r="J124" i="2"/>
  <c r="K124" i="2"/>
  <c r="J125" i="2"/>
  <c r="K125" i="2"/>
  <c r="J126" i="2"/>
  <c r="K126" i="2"/>
  <c r="J127" i="2"/>
  <c r="K127" i="2"/>
  <c r="J128" i="2"/>
  <c r="K128" i="2"/>
  <c r="J129" i="2"/>
  <c r="K129" i="2"/>
  <c r="J130" i="2"/>
  <c r="K130" i="2"/>
  <c r="J131" i="2"/>
  <c r="K131" i="2"/>
  <c r="J132" i="2"/>
  <c r="K132" i="2"/>
  <c r="J133" i="2"/>
  <c r="K133" i="2"/>
  <c r="J134" i="2"/>
  <c r="K134" i="2"/>
  <c r="J135" i="2"/>
  <c r="K135" i="2"/>
  <c r="J136" i="2"/>
  <c r="K136" i="2"/>
  <c r="J137" i="2"/>
  <c r="K137" i="2"/>
  <c r="J138" i="2"/>
  <c r="K138" i="2"/>
  <c r="J139" i="2"/>
  <c r="K139" i="2"/>
  <c r="J140" i="2"/>
  <c r="K140" i="2"/>
  <c r="J141" i="2"/>
  <c r="K141" i="2"/>
  <c r="J142" i="2"/>
  <c r="K142" i="2"/>
  <c r="J143" i="2"/>
  <c r="K143" i="2"/>
  <c r="J144" i="2"/>
  <c r="K144" i="2"/>
  <c r="J145" i="2"/>
  <c r="K145" i="2"/>
  <c r="J146" i="2"/>
  <c r="K146" i="2"/>
  <c r="J147" i="2"/>
  <c r="K147" i="2"/>
  <c r="J148" i="2"/>
  <c r="K148" i="2"/>
  <c r="J149" i="2"/>
  <c r="K149" i="2"/>
  <c r="J150" i="2"/>
  <c r="K150" i="2"/>
  <c r="J151" i="2"/>
  <c r="K151" i="2"/>
  <c r="J152" i="2"/>
  <c r="K152" i="2"/>
  <c r="J153" i="2"/>
  <c r="K153" i="2"/>
  <c r="J154" i="2"/>
  <c r="K154" i="2"/>
  <c r="J155" i="2"/>
  <c r="K155" i="2"/>
  <c r="J156" i="2"/>
  <c r="K156" i="2"/>
  <c r="J157" i="2"/>
  <c r="K157" i="2"/>
  <c r="J158" i="2"/>
  <c r="K158" i="2"/>
  <c r="J159" i="2"/>
  <c r="K159" i="2"/>
  <c r="J160" i="2"/>
  <c r="K160" i="2"/>
  <c r="J161" i="2"/>
  <c r="K161" i="2"/>
  <c r="J162" i="2"/>
  <c r="K162" i="2"/>
  <c r="J163" i="2"/>
  <c r="K163" i="2"/>
  <c r="J164" i="2"/>
  <c r="K164" i="2"/>
  <c r="J165" i="2"/>
  <c r="K165" i="2"/>
  <c r="J166" i="2"/>
  <c r="K166" i="2"/>
  <c r="J167" i="2"/>
  <c r="K167" i="2"/>
  <c r="J168" i="2"/>
  <c r="K168" i="2"/>
  <c r="J169" i="2"/>
  <c r="K169" i="2"/>
  <c r="J170" i="2"/>
  <c r="K170" i="2"/>
  <c r="J171" i="2"/>
  <c r="K171" i="2"/>
  <c r="J172" i="2"/>
  <c r="K172" i="2"/>
  <c r="J173" i="2"/>
  <c r="K173" i="2"/>
  <c r="J174" i="2"/>
  <c r="K174" i="2"/>
  <c r="J175" i="2"/>
  <c r="K175" i="2"/>
  <c r="J176" i="2"/>
  <c r="K176" i="2"/>
  <c r="J177" i="2"/>
  <c r="K177" i="2"/>
  <c r="J178" i="2"/>
  <c r="K178" i="2"/>
  <c r="J179" i="2"/>
  <c r="K179" i="2"/>
  <c r="J180" i="2"/>
  <c r="K180" i="2"/>
  <c r="J181" i="2"/>
  <c r="K181" i="2"/>
  <c r="J182" i="2"/>
  <c r="K182" i="2"/>
  <c r="J183" i="2"/>
  <c r="K183" i="2"/>
  <c r="J184" i="2"/>
  <c r="K184" i="2"/>
  <c r="J185" i="2"/>
  <c r="K185" i="2"/>
  <c r="J186" i="2"/>
  <c r="K186" i="2"/>
  <c r="J187" i="2"/>
  <c r="K187" i="2"/>
  <c r="J188" i="2"/>
  <c r="K188" i="2"/>
  <c r="J189" i="2"/>
  <c r="K189" i="2"/>
  <c r="J190" i="2"/>
  <c r="K190" i="2"/>
  <c r="J191" i="2"/>
  <c r="K191" i="2"/>
  <c r="J192" i="2"/>
  <c r="K192" i="2"/>
  <c r="J193" i="2"/>
  <c r="K193" i="2"/>
  <c r="J194" i="2"/>
  <c r="K194" i="2"/>
  <c r="J195" i="2"/>
  <c r="K195" i="2"/>
  <c r="J196" i="2"/>
  <c r="K196" i="2"/>
  <c r="J197" i="2"/>
  <c r="K197" i="2"/>
  <c r="J198" i="2"/>
  <c r="K198" i="2"/>
  <c r="J199" i="2"/>
  <c r="K199" i="2"/>
  <c r="J200" i="2"/>
  <c r="K200" i="2"/>
  <c r="J201" i="2"/>
  <c r="K201" i="2"/>
  <c r="J202" i="2"/>
  <c r="K202" i="2"/>
  <c r="J203" i="2"/>
  <c r="K203" i="2"/>
  <c r="J204" i="2"/>
  <c r="K204" i="2"/>
  <c r="J205" i="2"/>
  <c r="K205" i="2"/>
  <c r="J206" i="2"/>
  <c r="K206" i="2"/>
  <c r="J207" i="2"/>
  <c r="K207" i="2"/>
  <c r="J208" i="2"/>
  <c r="K208" i="2"/>
  <c r="J209" i="2"/>
  <c r="K209" i="2"/>
  <c r="J210" i="2"/>
  <c r="K210" i="2"/>
  <c r="J211" i="2"/>
  <c r="K211" i="2"/>
  <c r="J212" i="2"/>
  <c r="K212" i="2"/>
  <c r="J213" i="2"/>
  <c r="K213" i="2"/>
  <c r="J214" i="2"/>
  <c r="K214" i="2"/>
  <c r="J215" i="2"/>
  <c r="K215" i="2"/>
  <c r="J216" i="2"/>
  <c r="K216" i="2"/>
  <c r="J217" i="2"/>
  <c r="K217" i="2"/>
  <c r="J218" i="2"/>
  <c r="K218" i="2"/>
  <c r="J219" i="2"/>
  <c r="K219" i="2"/>
  <c r="J220" i="2"/>
  <c r="K220" i="2"/>
  <c r="J221" i="2"/>
  <c r="K221" i="2"/>
  <c r="J222" i="2"/>
  <c r="K222" i="2"/>
  <c r="J223" i="2"/>
  <c r="K223" i="2"/>
  <c r="J224" i="2"/>
  <c r="K224" i="2"/>
  <c r="J225" i="2"/>
  <c r="K225" i="2"/>
  <c r="J226" i="2"/>
  <c r="K226" i="2"/>
  <c r="J227" i="2"/>
  <c r="K227" i="2"/>
  <c r="J228" i="2"/>
  <c r="K228" i="2"/>
  <c r="J229" i="2"/>
  <c r="K229" i="2"/>
  <c r="J230" i="2"/>
  <c r="K230" i="2"/>
  <c r="J231" i="2"/>
  <c r="K231" i="2"/>
  <c r="J232" i="2"/>
  <c r="K232" i="2"/>
  <c r="J233" i="2"/>
  <c r="K233" i="2"/>
  <c r="J234" i="2"/>
  <c r="K234" i="2"/>
  <c r="J235" i="2"/>
  <c r="K235" i="2"/>
  <c r="J236" i="2"/>
  <c r="K236" i="2"/>
  <c r="J237" i="2"/>
  <c r="K237" i="2"/>
  <c r="J238" i="2"/>
  <c r="K238" i="2"/>
  <c r="J239" i="2"/>
  <c r="K239" i="2"/>
  <c r="J240" i="2"/>
  <c r="K240" i="2"/>
  <c r="J241" i="2"/>
  <c r="K241" i="2"/>
  <c r="J242" i="2"/>
  <c r="K242" i="2"/>
  <c r="J243" i="2"/>
  <c r="K243" i="2"/>
  <c r="J244" i="2"/>
  <c r="K244" i="2"/>
  <c r="J245" i="2"/>
  <c r="K245" i="2"/>
  <c r="J246" i="2"/>
  <c r="K246" i="2"/>
  <c r="J247" i="2"/>
  <c r="K247" i="2"/>
  <c r="J248" i="2"/>
  <c r="K248" i="2"/>
  <c r="J249" i="2"/>
  <c r="K249" i="2"/>
  <c r="J250" i="2"/>
  <c r="K250" i="2"/>
  <c r="J251" i="2"/>
  <c r="K251" i="2"/>
  <c r="J252" i="2"/>
  <c r="K252" i="2"/>
  <c r="J253" i="2"/>
  <c r="K253" i="2"/>
  <c r="J254" i="2"/>
  <c r="K254" i="2"/>
  <c r="J255" i="2"/>
  <c r="K255" i="2"/>
  <c r="J256" i="2"/>
  <c r="K256" i="2"/>
  <c r="J257" i="2"/>
  <c r="K257" i="2"/>
  <c r="J258" i="2"/>
  <c r="K258" i="2"/>
  <c r="J259" i="2"/>
  <c r="K259" i="2"/>
  <c r="J260" i="2"/>
  <c r="K260" i="2"/>
  <c r="J261" i="2"/>
  <c r="K261" i="2"/>
  <c r="J262" i="2"/>
  <c r="K262" i="2"/>
  <c r="J263" i="2"/>
  <c r="K263" i="2"/>
  <c r="J264" i="2"/>
  <c r="K264" i="2"/>
  <c r="J265" i="2"/>
  <c r="K265" i="2"/>
  <c r="J266" i="2"/>
  <c r="K266" i="2"/>
  <c r="J267" i="2"/>
  <c r="K267" i="2"/>
  <c r="J268" i="2"/>
  <c r="K268" i="2"/>
  <c r="J269" i="2"/>
  <c r="K269" i="2"/>
  <c r="J270" i="2"/>
  <c r="K270" i="2"/>
  <c r="J271" i="2"/>
  <c r="K271" i="2"/>
  <c r="J272" i="2"/>
  <c r="K272" i="2"/>
  <c r="J273" i="2"/>
  <c r="K273" i="2"/>
  <c r="J274" i="2"/>
  <c r="K274" i="2"/>
  <c r="J275" i="2"/>
  <c r="K275" i="2"/>
  <c r="J276" i="2"/>
  <c r="K276" i="2"/>
  <c r="J277" i="2"/>
  <c r="K277" i="2"/>
  <c r="J278" i="2"/>
  <c r="K278" i="2"/>
  <c r="J279" i="2"/>
  <c r="K279" i="2"/>
  <c r="J280" i="2"/>
  <c r="K280" i="2"/>
  <c r="J281" i="2"/>
  <c r="K281" i="2"/>
  <c r="J282" i="2"/>
  <c r="K282" i="2"/>
  <c r="J283" i="2"/>
  <c r="K283" i="2"/>
  <c r="J284" i="2"/>
  <c r="K284" i="2"/>
  <c r="J285" i="2"/>
  <c r="K285" i="2"/>
  <c r="J286" i="2"/>
  <c r="K286" i="2"/>
  <c r="J287" i="2"/>
  <c r="K287" i="2"/>
  <c r="J288" i="2"/>
  <c r="K288" i="2"/>
  <c r="J289" i="2"/>
  <c r="K289" i="2"/>
  <c r="J290" i="2"/>
  <c r="K290" i="2"/>
  <c r="J291" i="2"/>
  <c r="K291" i="2"/>
  <c r="J292" i="2"/>
  <c r="K292" i="2"/>
  <c r="J293" i="2"/>
  <c r="K293" i="2"/>
  <c r="J294" i="2"/>
  <c r="K294" i="2"/>
  <c r="J295" i="2"/>
  <c r="K295" i="2"/>
  <c r="J296" i="2"/>
  <c r="K296" i="2"/>
  <c r="J297" i="2"/>
  <c r="K297" i="2"/>
  <c r="J298" i="2"/>
  <c r="K298" i="2"/>
  <c r="J299" i="2"/>
  <c r="K299" i="2"/>
  <c r="J300" i="2"/>
  <c r="K300" i="2"/>
  <c r="J301" i="2"/>
  <c r="K301" i="2"/>
  <c r="J302" i="2"/>
  <c r="K302" i="2"/>
  <c r="J303" i="2"/>
  <c r="K303" i="2"/>
  <c r="J304" i="2"/>
  <c r="K304" i="2"/>
  <c r="J305" i="2"/>
  <c r="K305" i="2"/>
  <c r="J306" i="2"/>
  <c r="K306" i="2"/>
  <c r="J307" i="2"/>
  <c r="K307" i="2"/>
  <c r="J308" i="2"/>
  <c r="K308" i="2"/>
  <c r="J309" i="2"/>
  <c r="K309" i="2"/>
  <c r="J310" i="2"/>
  <c r="K310" i="2"/>
  <c r="J311" i="2"/>
  <c r="K311" i="2"/>
  <c r="J312" i="2"/>
  <c r="K312" i="2"/>
  <c r="J313" i="2"/>
  <c r="K313" i="2"/>
  <c r="J314" i="2"/>
  <c r="K314" i="2"/>
  <c r="J315" i="2"/>
  <c r="K315" i="2"/>
  <c r="J316" i="2"/>
  <c r="K316" i="2"/>
  <c r="J317" i="2"/>
  <c r="K317" i="2"/>
  <c r="J318" i="2"/>
  <c r="K318" i="2"/>
  <c r="J319" i="2"/>
  <c r="K319" i="2"/>
  <c r="J320" i="2"/>
  <c r="K320" i="2"/>
  <c r="J321" i="2"/>
  <c r="K321" i="2"/>
  <c r="J322" i="2"/>
  <c r="K322" i="2"/>
  <c r="J323" i="2"/>
  <c r="K323" i="2"/>
  <c r="J324" i="2"/>
  <c r="K324" i="2"/>
  <c r="J325" i="2"/>
  <c r="K325" i="2"/>
  <c r="J326" i="2"/>
  <c r="K326" i="2"/>
  <c r="J327" i="2"/>
  <c r="K327" i="2"/>
  <c r="J328" i="2"/>
  <c r="K328" i="2"/>
  <c r="J329" i="2"/>
  <c r="K329" i="2"/>
  <c r="J330" i="2"/>
  <c r="K330" i="2"/>
  <c r="J331" i="2"/>
  <c r="K331" i="2"/>
  <c r="J332" i="2"/>
  <c r="K332" i="2"/>
  <c r="J333" i="2"/>
  <c r="K333" i="2"/>
  <c r="J334" i="2"/>
  <c r="K334" i="2"/>
  <c r="J335" i="2"/>
  <c r="K335" i="2"/>
  <c r="J336" i="2"/>
  <c r="K336" i="2"/>
  <c r="J337" i="2"/>
  <c r="K337" i="2"/>
  <c r="J338" i="2"/>
  <c r="K338" i="2"/>
  <c r="J339" i="2"/>
  <c r="K339" i="2"/>
  <c r="J340" i="2"/>
  <c r="K340" i="2"/>
  <c r="J341" i="2"/>
  <c r="K341" i="2"/>
  <c r="J342" i="2"/>
  <c r="K342" i="2"/>
  <c r="J343" i="2"/>
  <c r="K343" i="2"/>
  <c r="J344" i="2"/>
  <c r="K344" i="2"/>
  <c r="J345" i="2"/>
  <c r="K345" i="2"/>
  <c r="J346" i="2"/>
  <c r="K346" i="2"/>
  <c r="J347" i="2"/>
  <c r="K347" i="2"/>
  <c r="J348" i="2"/>
  <c r="K348" i="2"/>
  <c r="J349" i="2"/>
  <c r="K349" i="2"/>
  <c r="J350" i="2"/>
  <c r="K350" i="2"/>
  <c r="J351" i="2"/>
  <c r="K351" i="2"/>
  <c r="J352" i="2"/>
  <c r="K352" i="2"/>
  <c r="J353" i="2"/>
  <c r="K353" i="2"/>
  <c r="J354" i="2"/>
  <c r="K354" i="2"/>
  <c r="J355" i="2"/>
  <c r="K355" i="2"/>
  <c r="J356" i="2"/>
  <c r="K356" i="2"/>
  <c r="J357" i="2"/>
  <c r="K357" i="2"/>
  <c r="J358" i="2"/>
  <c r="K358" i="2"/>
  <c r="J359" i="2"/>
  <c r="K359" i="2"/>
  <c r="J360" i="2"/>
  <c r="K360" i="2"/>
  <c r="J361" i="2"/>
  <c r="K361" i="2"/>
  <c r="J362" i="2"/>
  <c r="K362" i="2"/>
  <c r="J363" i="2"/>
  <c r="K363" i="2"/>
  <c r="J364" i="2"/>
  <c r="K364" i="2"/>
  <c r="J365" i="2"/>
  <c r="K365" i="2"/>
  <c r="J366" i="2"/>
  <c r="K366" i="2"/>
  <c r="J367" i="2"/>
  <c r="K367" i="2"/>
  <c r="J368" i="2"/>
  <c r="K368" i="2"/>
  <c r="J369" i="2"/>
  <c r="K369" i="2"/>
  <c r="J370" i="2"/>
  <c r="K370" i="2"/>
  <c r="J371" i="2"/>
  <c r="K371" i="2"/>
  <c r="J372" i="2"/>
  <c r="K372" i="2"/>
  <c r="J373" i="2"/>
  <c r="K373" i="2"/>
  <c r="J374" i="2"/>
  <c r="K374" i="2"/>
  <c r="J375" i="2"/>
  <c r="K375" i="2"/>
  <c r="J376" i="2"/>
  <c r="K376" i="2"/>
  <c r="J377" i="2"/>
  <c r="K377" i="2"/>
  <c r="J378" i="2"/>
  <c r="K378" i="2"/>
  <c r="J379" i="2"/>
  <c r="K379" i="2"/>
  <c r="J380" i="2"/>
  <c r="K380" i="2"/>
  <c r="J381" i="2"/>
  <c r="K381" i="2"/>
  <c r="J382" i="2"/>
  <c r="K382" i="2"/>
  <c r="J383" i="2"/>
  <c r="K383" i="2"/>
  <c r="J384" i="2"/>
  <c r="K384" i="2"/>
  <c r="J385" i="2"/>
  <c r="K385" i="2"/>
  <c r="J386" i="2"/>
  <c r="K386" i="2"/>
  <c r="J387" i="2"/>
  <c r="K387" i="2"/>
  <c r="J388" i="2"/>
  <c r="K388" i="2"/>
  <c r="J389" i="2"/>
  <c r="K389" i="2"/>
  <c r="J390" i="2"/>
  <c r="K390" i="2"/>
  <c r="J391" i="2"/>
  <c r="K391" i="2"/>
  <c r="J392" i="2"/>
  <c r="K392" i="2"/>
  <c r="J393" i="2"/>
  <c r="K393" i="2"/>
  <c r="J394" i="2"/>
  <c r="K394" i="2"/>
  <c r="J395" i="2"/>
  <c r="K395" i="2"/>
  <c r="J396" i="2"/>
  <c r="K396" i="2"/>
  <c r="J397" i="2"/>
  <c r="K397" i="2"/>
  <c r="J398" i="2"/>
  <c r="K398" i="2"/>
  <c r="J399" i="2"/>
  <c r="K399" i="2"/>
  <c r="J400" i="2"/>
  <c r="K400" i="2"/>
  <c r="J401" i="2"/>
  <c r="K401" i="2"/>
  <c r="J402" i="2"/>
  <c r="K402" i="2"/>
  <c r="J403" i="2"/>
  <c r="K403" i="2"/>
  <c r="J404" i="2"/>
  <c r="K404" i="2"/>
  <c r="J405" i="2"/>
  <c r="K405" i="2"/>
  <c r="J406" i="2"/>
  <c r="K406" i="2"/>
  <c r="J407" i="2"/>
  <c r="K407" i="2"/>
  <c r="J408" i="2"/>
  <c r="K408" i="2"/>
  <c r="J409" i="2"/>
  <c r="K409" i="2"/>
  <c r="J410" i="2"/>
  <c r="K410" i="2"/>
  <c r="J411" i="2"/>
  <c r="K411" i="2"/>
  <c r="J412" i="2"/>
  <c r="K412" i="2"/>
  <c r="J413" i="2"/>
  <c r="K413" i="2"/>
  <c r="J414" i="2"/>
  <c r="K414" i="2"/>
  <c r="J415" i="2"/>
  <c r="K415" i="2"/>
  <c r="J416" i="2"/>
  <c r="K416" i="2"/>
  <c r="J417" i="2"/>
  <c r="K417" i="2"/>
  <c r="J418" i="2"/>
  <c r="K418" i="2"/>
  <c r="J419" i="2"/>
  <c r="K419" i="2"/>
  <c r="J420" i="2"/>
  <c r="K420" i="2"/>
  <c r="J421" i="2"/>
  <c r="K421" i="2"/>
  <c r="J422" i="2"/>
  <c r="K422" i="2"/>
  <c r="J423" i="2"/>
  <c r="K423" i="2"/>
  <c r="J424" i="2"/>
  <c r="K424" i="2"/>
  <c r="J425" i="2"/>
  <c r="K425" i="2"/>
  <c r="J426" i="2"/>
  <c r="K426" i="2"/>
  <c r="J427" i="2"/>
  <c r="K427" i="2"/>
  <c r="J428" i="2"/>
  <c r="K428" i="2"/>
  <c r="J429" i="2"/>
  <c r="K429" i="2"/>
  <c r="J430" i="2"/>
  <c r="K430" i="2"/>
  <c r="J431" i="2"/>
  <c r="K431" i="2"/>
  <c r="J432" i="2"/>
  <c r="K432" i="2"/>
  <c r="J433" i="2"/>
  <c r="K433" i="2"/>
  <c r="J434" i="2"/>
  <c r="K434" i="2"/>
  <c r="J435" i="2"/>
  <c r="K435" i="2"/>
  <c r="J436" i="2"/>
  <c r="K436" i="2"/>
  <c r="J437" i="2"/>
  <c r="K437" i="2"/>
  <c r="J438" i="2"/>
  <c r="K438" i="2"/>
  <c r="J439" i="2"/>
  <c r="K439" i="2"/>
  <c r="J440" i="2"/>
  <c r="K440" i="2"/>
  <c r="J441" i="2"/>
  <c r="K441" i="2"/>
  <c r="J442" i="2"/>
  <c r="K442" i="2"/>
  <c r="J443" i="2"/>
  <c r="K443" i="2"/>
  <c r="J444" i="2"/>
  <c r="K444" i="2"/>
  <c r="J445" i="2"/>
  <c r="K445" i="2"/>
  <c r="J446" i="2"/>
  <c r="K446" i="2"/>
  <c r="J447" i="2"/>
  <c r="K447" i="2"/>
  <c r="J448" i="2"/>
  <c r="K448" i="2"/>
  <c r="J449" i="2"/>
  <c r="K449" i="2"/>
  <c r="J450" i="2"/>
  <c r="K450" i="2"/>
  <c r="J451" i="2"/>
  <c r="K451" i="2"/>
  <c r="J452" i="2"/>
  <c r="K452" i="2"/>
  <c r="J453" i="2"/>
  <c r="K453" i="2"/>
  <c r="J454" i="2"/>
  <c r="K454" i="2"/>
  <c r="J455" i="2"/>
  <c r="K455" i="2"/>
  <c r="J456" i="2"/>
  <c r="K456" i="2"/>
  <c r="J457" i="2"/>
  <c r="K457" i="2"/>
  <c r="J458" i="2"/>
  <c r="K458" i="2"/>
  <c r="J459" i="2"/>
  <c r="K459" i="2"/>
  <c r="J460" i="2"/>
  <c r="K460" i="2"/>
  <c r="O13" i="3"/>
  <c r="F12" i="3"/>
  <c r="F11" i="3"/>
  <c r="C20" i="3"/>
  <c r="C21" i="3"/>
  <c r="C22" i="3"/>
  <c r="C23" i="3"/>
  <c r="C24" i="3"/>
  <c r="C25" i="3"/>
  <c r="C26" i="3"/>
  <c r="C27" i="3"/>
  <c r="C28" i="3"/>
  <c r="C29" i="3"/>
  <c r="C30" i="3"/>
  <c r="W18" i="2"/>
  <c r="W16" i="2"/>
  <c r="O45" i="2"/>
  <c r="O43" i="2"/>
  <c r="O41" i="2"/>
  <c r="M45" i="2"/>
  <c r="M44" i="2"/>
  <c r="M43" i="2"/>
  <c r="M42" i="2"/>
  <c r="K9" i="2"/>
  <c r="J9" i="2"/>
  <c r="M36" i="2"/>
  <c r="M35" i="2"/>
  <c r="M34" i="2"/>
  <c r="M33" i="2"/>
  <c r="X8" i="2"/>
  <c r="G1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tc={E1E8C2CF-39ED-4C8D-B967-AE511A82DBF8}</author>
    <author>tc={79688DAF-6B0B-4EB7-9EEB-503D7B12C829}</author>
    <author>tc={BF117951-6E4A-4F87-8835-0B8D40452B86}</author>
    <author>tc={44CEA7E3-7023-45D9-98F0-35317A15EA93}</author>
    <author>tc={73359A1B-FCE3-4BE2-AFB1-58BF3E81BE22}</author>
    <author>tc={0C17D926-B2D5-4DC5-8AEE-7EACE51A3A01}</author>
    <author>tc={7046C565-BE9A-4337-B273-E8755C6872CC}</author>
    <author>tc={7B3A4DA9-AF5B-4538-BFA5-6551953C574C}</author>
    <author>tc={3972DF2D-A32A-449D-BCDE-B6DA5CBE6842}</author>
    <author>tc={4F74AA78-870C-4D8D-A9C9-92D2166F4D1F}</author>
    <author>tc={A721AE38-46F6-4853-AF5F-7CA8E979A21E}</author>
    <author>tc={5BE00545-2379-4C34-9750-3BFC44AF0FA5}</author>
    <author>tc={F1CE2A8B-28AB-449C-9ADA-B93B66B15303}</author>
    <author>tc={6B0F7CE7-5AAF-4E79-BCCF-D1581D62F15F}</author>
    <author>tc={FAA0EC8B-21D5-463C-8159-DA95CD995270}</author>
  </authors>
  <commentList>
    <comment ref="N6" authorId="0" shapeId="0" xr:uid="{E1E8C2CF-39ED-4C8D-B967-AE511A82DBF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 filter the pivot table by the year.
Go to the “PivotTable Field”
You put the date columns in the rows section.
De-select the month and quarter parameters
You put the year parameter in the “Filters” section
Now, you can filter the Pivot table by year</t>
        </r>
      </text>
    </comment>
    <comment ref="M7" authorId="1" shapeId="0" xr:uid="{79688DAF-6B0B-4EB7-9EEB-503D7B12C82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 Select the table with ctrl+A
- Look for the option “Summarize with pivot table”
- Ensure the pivot command contains all the data of the table
- Put an existing or new page.
- Use the table in order to accomplish the target or the original objetive</t>
        </r>
      </text>
    </comment>
    <comment ref="B8" authorId="2" shapeId="0" xr:uid="{BF117951-6E4A-4F87-8835-0B8D40452B8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changed the format of this column to short date for learning purposes
Reply:
    I used sort &amp; filter command, to filter date information, in particular, I filtered between 3/1/2017 to 9/1/2018
Reply:
    I used custom sort order, to put the dat from “oldest to newest” to “newest to oldest”</t>
        </r>
      </text>
    </comment>
    <comment ref="C8" authorId="3" shapeId="0" xr:uid="{44CEA7E3-7023-45D9-98F0-35317A15EA9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put these columns to text format just for learning purposes
Reply:
    I used the “sort &amp; filter” command, to filter the “Salesperson” and the “Region” columns.
Reply:
    I used the same command, to filter names with letter “r, I used text filter option.</t>
        </r>
      </text>
    </comment>
    <comment ref="D8" authorId="4" shapeId="0" xr:uid="{73359A1B-FCE3-4BE2-AFB1-58BF3E81BE22}">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put a personalized order on the region column, using the custom sort
</t>
        </r>
      </text>
    </comment>
    <comment ref="F8" authorId="5" shapeId="0" xr:uid="{0C17D926-B2D5-4DC5-8AEE-7EACE51A3A0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put hierarchy with salesperson and modality columns.
First, salesperson and modality columns and later in reverse, modality an the salesperson</t>
        </r>
      </text>
    </comment>
    <comment ref="G8" authorId="6" shapeId="0" xr:uid="{7046C565-BE9A-4337-B273-E8755C6872C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Ctrl+shift+down, you select all the column below
Reply:
    On this colum, I change the format to number format.
Reply:
    You can put a personalized order using “custom sort” but we need to put all the parameters right to avoid strange patterns</t>
        </r>
      </text>
    </comment>
    <comment ref="H8" authorId="7" shapeId="0" xr:uid="{7B3A4DA9-AF5B-4538-BFA5-6551953C574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On this colum, I change the format to number format.
Reply:
    Ctrl+shift+down, you select all the column below
Reply:
    I changed the column to currency format with red negative numbers
Reply:
    Later, I change the format to accounting, to analyze better the sales numbers</t>
        </r>
      </text>
    </comment>
    <comment ref="J8" authorId="8" shapeId="0" xr:uid="{3972DF2D-A32A-449D-BCDE-B6DA5CBE684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 this column, I applied a conditional using the function “IF”, where a salesperson receive a 5% commision if their sale are equal or greather than 70$.</t>
        </r>
      </text>
    </comment>
    <comment ref="K8" authorId="9" shapeId="0" xr:uid="{4F74AA78-870C-4D8D-A9C9-92D2166F4D1F}">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this column, I created a new list of email addresses for the salespersons using the function right and the helper “training@email.com” at the J7 cell
Reply:
    Equally, I used the LEFT function to add the identifier “sales.” at the left.
</t>
        </r>
      </text>
    </comment>
    <comment ref="X8" authorId="10" shapeId="0" xr:uid="{A721AE38-46F6-4853-AF5F-7CA8E979A21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did not understand well the function “counta”. I will practice it with more exercises.</t>
        </r>
      </text>
    </comment>
    <comment ref="M16" authorId="11" shapeId="0" xr:uid="{5BE00545-2379-4C34-9750-3BFC44AF0FA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 update the pivot table information, you go to “PivotAnalyze”, and then click to “Refresh”.</t>
        </r>
      </text>
    </comment>
    <comment ref="W16" authorId="12" shapeId="0" xr:uid="{F1CE2A8B-28AB-449C-9ADA-B93B66B1530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used the general average function to find the main average of the “units” column.
Reply:
    Here, we can see that the number of units sold is typically between 4 to 5 units per sale.</t>
        </r>
      </text>
    </comment>
    <comment ref="M44" authorId="13" shapeId="0" xr:uid="{6B0F7CE7-5AAF-4E79-BCCF-D1581D62F15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summed all numbers equal or greather than 4 of the column “Units” using the conditinal function sumif</t>
        </r>
      </text>
    </comment>
    <comment ref="M45" authorId="14" shapeId="0" xr:uid="{FAA0EC8B-21D5-463C-8159-DA95CD99527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 this cell, I made a conditional sums, I summed all the total sales with websited modality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tc={1D31400A-17F8-4E74-A908-110A376C023C}</author>
    <author>tc={3E227009-8F5F-416F-BECC-615730E71C75}</author>
    <author>tc={9AD38831-9FC2-4636-85F2-8DF848A8F3C0}</author>
  </authors>
  <commentList>
    <comment ref="C6" authorId="0" shapeId="0" xr:uid="{1D31400A-17F8-4E74-A908-110A376C023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Go to “Data” section.
Then, go to “data tools”
Then, go to “Tex to columns”
Put the right separatos (in this case, a comma)
And put next, next &amp; finish</t>
        </r>
      </text>
    </comment>
    <comment ref="K7" authorId="1" shapeId="0" xr:uid="{3E227009-8F5F-416F-BECC-615730E71C7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You select the column(s) [ctrl+shft+down]
Be sure the mouse is with the four corners
Please under shift.
And move the column(s) to the desired place</t>
        </r>
      </text>
    </comment>
    <comment ref="K8" authorId="2" shapeId="0" xr:uid="{9AD38831-9FC2-4636-85F2-8DF848A8F3C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Select the table with Ctrl+A
Select the option “Format as Table”
Click Ok or whatever and you go it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BBDD07-F610-488E-AC37-13FC5AB6C602}" keepAlive="1" name="Query - TableSales" description="Connection to the 'TableSales' query in the workbook." type="5" refreshedVersion="8" background="1" saveData="1">
    <dbPr connection="Provider=Microsoft.Mashup.OleDb.1;Data Source=$Workbook$;Location=TableSales;Extended Properties=&quot;&quot;" command="SELECT * FROM [TableSales]"/>
  </connection>
</connections>
</file>

<file path=xl/sharedStrings.xml><?xml version="1.0" encoding="utf-8"?>
<sst xmlns="http://schemas.openxmlformats.org/spreadsheetml/2006/main" count="4747" uniqueCount="279">
  <si>
    <t>Database - Excel Training</t>
  </si>
  <si>
    <t>LSG Training &amp; Learning Development Department 2024</t>
  </si>
  <si>
    <t>Date</t>
  </si>
  <si>
    <t>Salesperson</t>
  </si>
  <si>
    <t>Modality</t>
  </si>
  <si>
    <t>Color</t>
  </si>
  <si>
    <t>Region</t>
  </si>
  <si>
    <t>Units</t>
  </si>
  <si>
    <t>Sales</t>
  </si>
  <si>
    <t>MONIQUE</t>
  </si>
  <si>
    <t>Phone</t>
  </si>
  <si>
    <t>Red</t>
  </si>
  <si>
    <t>West</t>
  </si>
  <si>
    <t>PETE</t>
  </si>
  <si>
    <t>Website</t>
  </si>
  <si>
    <t>Blue</t>
  </si>
  <si>
    <t>South</t>
  </si>
  <si>
    <t>LAUREN</t>
  </si>
  <si>
    <t>Live</t>
  </si>
  <si>
    <t>Green</t>
  </si>
  <si>
    <t>HARRY</t>
  </si>
  <si>
    <t>North</t>
  </si>
  <si>
    <t>MARIO</t>
  </si>
  <si>
    <t>East</t>
  </si>
  <si>
    <t>EDGAR</t>
  </si>
  <si>
    <t>Silver</t>
  </si>
  <si>
    <t>Text to Columns - Excel Training</t>
  </si>
  <si>
    <t>Last Name</t>
  </si>
  <si>
    <t>First Name</t>
  </si>
  <si>
    <t>Job Position</t>
  </si>
  <si>
    <t>Marital Status</t>
  </si>
  <si>
    <t>Age</t>
  </si>
  <si>
    <t>Assigned House</t>
  </si>
  <si>
    <t>VLOOKUP - Excel Training</t>
  </si>
  <si>
    <t>Training &amp; Learning Department 2024</t>
  </si>
  <si>
    <t>Example #1 - basic exact match on movie title</t>
  </si>
  <si>
    <t>Example #3 - approximate match on product price</t>
  </si>
  <si>
    <t>Movie</t>
  </si>
  <si>
    <t>Year</t>
  </si>
  <si>
    <t>Rank</t>
  </si>
  <si>
    <t>Fargo</t>
  </si>
  <si>
    <t>Product ID</t>
  </si>
  <si>
    <t>Product name</t>
  </si>
  <si>
    <t xml:space="preserve">Price </t>
  </si>
  <si>
    <t>Banana</t>
  </si>
  <si>
    <t>Find the fruit with the price nearest to $1,00</t>
  </si>
  <si>
    <t>L.A Confidential</t>
  </si>
  <si>
    <t>Tangerine</t>
  </si>
  <si>
    <t>The Sixth Sense</t>
  </si>
  <si>
    <t>Pineapple</t>
  </si>
  <si>
    <t>Toy Story</t>
  </si>
  <si>
    <t>Strawberry</t>
  </si>
  <si>
    <t>Unforgiven</t>
  </si>
  <si>
    <t>Pear</t>
  </si>
  <si>
    <t>Lemon</t>
  </si>
  <si>
    <t>Apple</t>
  </si>
  <si>
    <t>Mango</t>
  </si>
  <si>
    <t>Example #2 - basic approximate match</t>
  </si>
  <si>
    <t>Orange</t>
  </si>
  <si>
    <t>ID</t>
  </si>
  <si>
    <t>Total</t>
  </si>
  <si>
    <t>Discount</t>
  </si>
  <si>
    <t>Discount depending of the amount spent</t>
  </si>
  <si>
    <t>Watermelon</t>
  </si>
  <si>
    <t>Spent</t>
  </si>
  <si>
    <t>Applicable discount</t>
  </si>
  <si>
    <t>Grapes</t>
  </si>
  <si>
    <t>How do the totals spent (column B) adjust to the discount chart in E:F?</t>
  </si>
  <si>
    <t>HLOOKUP - Excel Training</t>
  </si>
  <si>
    <t>LSG Training &amp; Learning Department 2024</t>
  </si>
  <si>
    <t>Example #1 - basic exact match on part name</t>
  </si>
  <si>
    <t>Equipment</t>
  </si>
  <si>
    <t>Axles</t>
  </si>
  <si>
    <t>Bearings</t>
  </si>
  <si>
    <t>Bolts</t>
  </si>
  <si>
    <t>Questions</t>
  </si>
  <si>
    <t>Truck 1</t>
  </si>
  <si>
    <t>How many Bearings does the Truck 2 have?</t>
  </si>
  <si>
    <t>How many Bolts does the Truck 3 have?</t>
  </si>
  <si>
    <t>Truck 2</t>
  </si>
  <si>
    <t>Truck 3</t>
  </si>
  <si>
    <t>Truck 4</t>
  </si>
  <si>
    <t>Truck 5</t>
  </si>
  <si>
    <t>Truck 6</t>
  </si>
  <si>
    <t>Unit</t>
  </si>
  <si>
    <t>Seller</t>
  </si>
  <si>
    <t>Jhonson</t>
  </si>
  <si>
    <t>Lily</t>
  </si>
  <si>
    <t>Coco</t>
  </si>
  <si>
    <t>Teddy</t>
  </si>
  <si>
    <t>Mike</t>
  </si>
  <si>
    <t>Hadern</t>
  </si>
  <si>
    <t>Wyden</t>
  </si>
  <si>
    <t>Example #3 - approximate match on Age and Name</t>
  </si>
  <si>
    <t>Name</t>
  </si>
  <si>
    <t>Randall</t>
  </si>
  <si>
    <t>James</t>
  </si>
  <si>
    <t>Nick</t>
  </si>
  <si>
    <t>Brian</t>
  </si>
  <si>
    <t>Auston</t>
  </si>
  <si>
    <t>Edward</t>
  </si>
  <si>
    <t>Taylor</t>
  </si>
  <si>
    <t>John</t>
  </si>
  <si>
    <t>Travis</t>
  </si>
  <si>
    <t>Alana</t>
  </si>
  <si>
    <t>Brianna</t>
  </si>
  <si>
    <t>Anna</t>
  </si>
  <si>
    <t>Elizabeth</t>
  </si>
  <si>
    <t>Nicolle</t>
  </si>
  <si>
    <t>Dan</t>
  </si>
  <si>
    <t>Sport</t>
  </si>
  <si>
    <t>Baseball</t>
  </si>
  <si>
    <t>Basketball</t>
  </si>
  <si>
    <t>Football</t>
  </si>
  <si>
    <t>Cricket</t>
  </si>
  <si>
    <t>Boxing</t>
  </si>
  <si>
    <t>Judo</t>
  </si>
  <si>
    <t>Volleyball</t>
  </si>
  <si>
    <t>Rugby</t>
  </si>
  <si>
    <t>Karate</t>
  </si>
  <si>
    <t>Tennis</t>
  </si>
  <si>
    <t>Cycling</t>
  </si>
  <si>
    <t>Find the name of the person with the age nearest to 30</t>
  </si>
  <si>
    <t>Find the sport that Travis practices</t>
  </si>
  <si>
    <t>With control + A, you can select all the table.</t>
  </si>
  <si>
    <t>Ctrl+shift+down, you select all the column below</t>
  </si>
  <si>
    <t>Delfox</t>
  </si>
  <si>
    <t>Martin</t>
  </si>
  <si>
    <t>District Attorney</t>
  </si>
  <si>
    <t>Married</t>
  </si>
  <si>
    <t>House 101</t>
  </si>
  <si>
    <t>Michaels</t>
  </si>
  <si>
    <t>Dean</t>
  </si>
  <si>
    <t>Pediatrician</t>
  </si>
  <si>
    <t>Single</t>
  </si>
  <si>
    <t>House 217</t>
  </si>
  <si>
    <t>Harrison</t>
  </si>
  <si>
    <t>Emily</t>
  </si>
  <si>
    <t>Software Engineer</t>
  </si>
  <si>
    <t>Divorced</t>
  </si>
  <si>
    <t>House 128</t>
  </si>
  <si>
    <t>Lopez</t>
  </si>
  <si>
    <t>Carlos</t>
  </si>
  <si>
    <t>Marketing Manager</t>
  </si>
  <si>
    <t>House 225</t>
  </si>
  <si>
    <t>Parker</t>
  </si>
  <si>
    <t>CEO</t>
  </si>
  <si>
    <t>House 110</t>
  </si>
  <si>
    <t>Adams</t>
  </si>
  <si>
    <t>Sarah</t>
  </si>
  <si>
    <t>Architect</t>
  </si>
  <si>
    <t>House 235</t>
  </si>
  <si>
    <t>Cooper</t>
  </si>
  <si>
    <t>David</t>
  </si>
  <si>
    <t>Teacher</t>
  </si>
  <si>
    <t>House 118</t>
  </si>
  <si>
    <t>Bennett</t>
  </si>
  <si>
    <t>Emma</t>
  </si>
  <si>
    <t>Graphic Designer</t>
  </si>
  <si>
    <t>House 212</t>
  </si>
  <si>
    <t>Watson</t>
  </si>
  <si>
    <t>Michael</t>
  </si>
  <si>
    <t>Engineer</t>
  </si>
  <si>
    <t>House 130</t>
  </si>
  <si>
    <t>Nelson</t>
  </si>
  <si>
    <t>Samantha</t>
  </si>
  <si>
    <t>HR Manager</t>
  </si>
  <si>
    <t>Carter</t>
  </si>
  <si>
    <t>Olivia</t>
  </si>
  <si>
    <t>Physician</t>
  </si>
  <si>
    <t>House 126</t>
  </si>
  <si>
    <t>Peterson</t>
  </si>
  <si>
    <t>Andrew</t>
  </si>
  <si>
    <t>Accountant</t>
  </si>
  <si>
    <t>House 238</t>
  </si>
  <si>
    <t>Ramirez</t>
  </si>
  <si>
    <t>Maria</t>
  </si>
  <si>
    <t>Lawyer</t>
  </si>
  <si>
    <t>House 123</t>
  </si>
  <si>
    <t>Murphy</t>
  </si>
  <si>
    <t>Journalist</t>
  </si>
  <si>
    <t>House 132</t>
  </si>
  <si>
    <t>Rivera</t>
  </si>
  <si>
    <t>Sophia</t>
  </si>
  <si>
    <t>Entrepreneur</t>
  </si>
  <si>
    <t>House 216</t>
  </si>
  <si>
    <t>Hughes</t>
  </si>
  <si>
    <t>Robert</t>
  </si>
  <si>
    <t>Professor</t>
  </si>
  <si>
    <t>House 115</t>
  </si>
  <si>
    <t>Price</t>
  </si>
  <si>
    <t>Amanda</t>
  </si>
  <si>
    <t>Artist</t>
  </si>
  <si>
    <t>Jenkins</t>
  </si>
  <si>
    <t>William</t>
  </si>
  <si>
    <t>Chef</t>
  </si>
  <si>
    <t>House 121</t>
  </si>
  <si>
    <t>Foster</t>
  </si>
  <si>
    <t>Julia</t>
  </si>
  <si>
    <t>IT Specialist</t>
  </si>
  <si>
    <t>House 229</t>
  </si>
  <si>
    <t>Morgan</t>
  </si>
  <si>
    <t>Alexander</t>
  </si>
  <si>
    <t>Consultant</t>
  </si>
  <si>
    <t>House 134</t>
  </si>
  <si>
    <t>Bailey</t>
  </si>
  <si>
    <t>Lauren</t>
  </si>
  <si>
    <t>Pharmacist</t>
  </si>
  <si>
    <t>House 213</t>
  </si>
  <si>
    <t>Gonzales</t>
  </si>
  <si>
    <t>Real Estate Agent</t>
  </si>
  <si>
    <t>House 137</t>
  </si>
  <si>
    <t>Lee</t>
  </si>
  <si>
    <t>Michelle</t>
  </si>
  <si>
    <t>Financial Analyst</t>
  </si>
  <si>
    <t>House 231</t>
  </si>
  <si>
    <t>Baker</t>
  </si>
  <si>
    <t>Jason</t>
  </si>
  <si>
    <t>Designer</t>
  </si>
  <si>
    <t>House 219</t>
  </si>
  <si>
    <t>how to move columns</t>
  </si>
  <si>
    <t>how to put table format</t>
  </si>
  <si>
    <t>Row Labels</t>
  </si>
  <si>
    <t>Grand Total</t>
  </si>
  <si>
    <t>Sum of Sales</t>
  </si>
  <si>
    <t>Column Labels</t>
  </si>
  <si>
    <t>Pivot table</t>
  </si>
  <si>
    <t>2016</t>
  </si>
  <si>
    <t>2017</t>
  </si>
  <si>
    <t>2018</t>
  </si>
  <si>
    <t>2019</t>
  </si>
  <si>
    <t>Good practices for pivot / dynamic tables</t>
  </si>
  <si>
    <t>(All)</t>
  </si>
  <si>
    <t>Years (Date)</t>
  </si>
  <si>
    <t>Sum of Units</t>
  </si>
  <si>
    <t>PREGUNTA PARA PENSAR</t>
  </si>
  <si>
    <t>g</t>
  </si>
  <si>
    <t>How many sales were made before May 2017?</t>
  </si>
  <si>
    <t>How many orders were sold with over 5 units per sale?</t>
  </si>
  <si>
    <t>How many orders did Mario and Monique sell over time?</t>
  </si>
  <si>
    <t>Just Mario orders</t>
  </si>
  <si>
    <t>COUNTIF EXERCISES</t>
  </si>
  <si>
    <t>Column1</t>
  </si>
  <si>
    <t>Commission</t>
  </si>
  <si>
    <t>New email</t>
  </si>
  <si>
    <t>helper</t>
  </si>
  <si>
    <t>training@email.com</t>
  </si>
  <si>
    <t>Identifier</t>
  </si>
  <si>
    <t>sales.</t>
  </si>
  <si>
    <t>TIPOS DE SUMA</t>
  </si>
  <si>
    <t>PRODUCT</t>
  </si>
  <si>
    <t>DIVISION</t>
  </si>
  <si>
    <t>SUBSTRACTION</t>
  </si>
  <si>
    <t>Average Units sold</t>
  </si>
  <si>
    <t>Average of Sales</t>
  </si>
  <si>
    <t>sales.EDGAR@email.com</t>
  </si>
  <si>
    <t>sales.HARRY@email.com</t>
  </si>
  <si>
    <t>sales.LAUREN@email.com</t>
  </si>
  <si>
    <t>sales.MARIO@email.com</t>
  </si>
  <si>
    <t>sales.MONIQUE@email.com</t>
  </si>
  <si>
    <t>sales.PETE@email.com</t>
  </si>
  <si>
    <t>No commission</t>
  </si>
  <si>
    <t>Cálculo A (Ventas por Región):</t>
  </si>
  <si>
    <t>Cálculo B (Top 5 Vendedores)</t>
  </si>
  <si>
    <t>Cálculo C (Tendencia Mensual)</t>
  </si>
  <si>
    <t>Jan</t>
  </si>
  <si>
    <t>Feb</t>
  </si>
  <si>
    <t>Mar</t>
  </si>
  <si>
    <t>Apr</t>
  </si>
  <si>
    <t>May</t>
  </si>
  <si>
    <t>Jun</t>
  </si>
  <si>
    <t>Jul</t>
  </si>
  <si>
    <t>Aug</t>
  </si>
  <si>
    <t>Sep</t>
  </si>
  <si>
    <t>Oct</t>
  </si>
  <si>
    <t>Nov</t>
  </si>
  <si>
    <t>Dec</t>
  </si>
  <si>
    <t>SALES PERFORMANCE &amp; OPERATIONS ANALYSIS</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</si>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</sst>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quot;$&quot;#,##0.00"/>
  </numFmts>
  <fonts count="18">
    <font>
      <sz val="11"/>
      <color theme="1"/>
      <name val="Aptos Narrow"/>
      <family val="2"/>
      <scheme val="minor"/>
    </font>
    <font>
      <b/>
      <sz val="36"/>
      <color theme="0"/>
      <name val="Viga"/>
      <family val="2"/>
    </font>
    <font>
      <b/>
      <sz val="11"/>
      <color theme="0"/>
      <name val="Poppins"/>
    </font>
    <font>
      <sz val="12"/>
      <color theme="1"/>
      <name val="Aptos Narrow"/>
      <family val="2"/>
      <scheme val="minor"/>
    </font>
    <font>
      <b/>
      <sz val="12"/>
      <color theme="0"/>
      <name val="Roboto"/>
    </font>
    <font>
      <sz val="12"/>
      <color theme="1"/>
      <name val="Roboto"/>
    </font>
    <font>
      <sz val="14"/>
      <color rgb="FF000000"/>
      <name val="Times New Roman"/>
      <family val="1"/>
    </font>
    <font>
      <sz val="11"/>
      <color theme="1"/>
      <name val="Roboto"/>
    </font>
    <font>
      <b/>
      <sz val="36"/>
      <color theme="0"/>
      <name val="Azo Sans Test"/>
      <family val="2"/>
    </font>
    <font>
      <b/>
      <sz val="11"/>
      <color theme="0"/>
      <name val="Arial Black"/>
      <family val="2"/>
    </font>
    <font>
      <sz val="11"/>
      <color theme="1"/>
      <name val="Aptos Narrow"/>
      <family val="2"/>
      <scheme val="minor"/>
    </font>
    <font>
      <b/>
      <sz val="11"/>
      <color theme="0"/>
      <name val="Roboto"/>
    </font>
    <font>
      <sz val="11"/>
      <color rgb="FF000000"/>
      <name val="Roboto"/>
    </font>
    <font>
      <b/>
      <sz val="11"/>
      <color theme="1"/>
      <name val="Aptos Narrow"/>
      <family val="2"/>
      <scheme val="minor"/>
    </font>
    <font>
      <sz val="9"/>
      <color theme="1"/>
      <name val="Segoe UI"/>
      <family val="2"/>
    </font>
    <font>
      <u/>
      <sz val="11"/>
      <color theme="10"/>
      <name val="Aptos Narrow"/>
      <family val="2"/>
      <scheme val="minor"/>
    </font>
    <font>
      <sz val="8"/>
      <name val="Aptos Narrow"/>
      <family val="2"/>
      <scheme val="minor"/>
    </font>
    <font>
      <sz val="12"/>
      <color theme="0"/>
      <name val="Roboto"/>
    </font>
  </fonts>
  <fills count="10">
    <fill>
      <patternFill patternType="none"/>
    </fill>
    <fill>
      <patternFill patternType="gray125"/>
    </fill>
    <fill>
      <patternFill patternType="solid">
        <fgColor rgb="FF100050"/>
        <bgColor indexed="64"/>
      </patternFill>
    </fill>
    <fill>
      <patternFill patternType="solid">
        <fgColor rgb="FF3E24D3"/>
        <bgColor indexed="64"/>
      </patternFill>
    </fill>
    <fill>
      <patternFill patternType="solid">
        <fgColor rgb="FF00C6A9"/>
        <bgColor indexed="64"/>
      </patternFill>
    </fill>
    <fill>
      <patternFill patternType="solid">
        <fgColor theme="0" tint="-0.14999847407452621"/>
        <bgColor theme="0" tint="-0.14999847407452621"/>
      </patternFill>
    </fill>
    <fill>
      <patternFill patternType="solid">
        <fgColor rgb="FF5BD7B7"/>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39997558519241921"/>
        <bgColor indexed="64"/>
      </patternFill>
    </fill>
  </fills>
  <borders count="2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249977111117893"/>
      </left>
      <right/>
      <top style="thin">
        <color theme="0" tint="-0.24994659260841701"/>
      </top>
      <bottom/>
      <diagonal/>
    </border>
    <border>
      <left style="thin">
        <color theme="0" tint="-0.249977111117893"/>
      </left>
      <right/>
      <top style="thin">
        <color theme="0" tint="-0.249977111117893"/>
      </top>
      <bottom/>
      <diagonal/>
    </border>
    <border>
      <left style="thin">
        <color theme="0" tint="-0.249977111117893"/>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theme="0" tint="-0.24994659260841701"/>
      </left>
      <right/>
      <top/>
      <bottom/>
      <diagonal/>
    </border>
    <border>
      <left style="thin">
        <color theme="0" tint="-0.24994659260841701"/>
      </left>
      <right style="thin">
        <color theme="0" tint="-0.24994659260841701"/>
      </right>
      <top/>
      <bottom/>
      <diagonal/>
    </border>
  </borders>
  <cellStyleXfs count="5">
    <xf numFmtId="0" fontId="0" fillId="0" borderId="0"/>
    <xf numFmtId="0" fontId="3" fillId="0" borderId="0"/>
    <xf numFmtId="164" fontId="10" fillId="0" borderId="0" applyFont="0" applyFill="0" applyBorder="0" applyAlignment="0" applyProtection="0"/>
    <xf numFmtId="9" fontId="10" fillId="0" borderId="0" applyFont="0" applyFill="0" applyBorder="0" applyAlignment="0" applyProtection="0"/>
    <xf numFmtId="0" fontId="15" fillId="0" borderId="0" applyNumberFormat="0" applyFill="0" applyBorder="0" applyAlignment="0" applyProtection="0"/>
  </cellStyleXfs>
  <cellXfs count="109">
    <xf numFmtId="0" fontId="0" fillId="0" borderId="0" xfId="0"/>
    <xf numFmtId="0" fontId="6" fillId="0" borderId="0" xfId="0" applyFont="1"/>
    <xf numFmtId="0" fontId="7" fillId="0" borderId="0" xfId="0" applyFont="1"/>
    <xf numFmtId="0" fontId="7" fillId="4" borderId="14" xfId="0" applyFont="1" applyFill="1" applyBorder="1"/>
    <xf numFmtId="0" fontId="7" fillId="0" borderId="15" xfId="0" applyFont="1" applyBorder="1" applyAlignment="1">
      <alignment horizontal="center"/>
    </xf>
    <xf numFmtId="0" fontId="7" fillId="0" borderId="14" xfId="0" applyFont="1" applyBorder="1"/>
    <xf numFmtId="0" fontId="7" fillId="0" borderId="14" xfId="0" applyFont="1" applyBorder="1" applyAlignment="1">
      <alignment horizontal="center" vertical="center"/>
    </xf>
    <xf numFmtId="164" fontId="7" fillId="0" borderId="14" xfId="2" applyFont="1" applyBorder="1" applyAlignment="1">
      <alignment horizontal="center" vertical="center"/>
    </xf>
    <xf numFmtId="164" fontId="7" fillId="0" borderId="14" xfId="2" applyFont="1" applyBorder="1"/>
    <xf numFmtId="165" fontId="7" fillId="0" borderId="14" xfId="0" applyNumberFormat="1" applyFont="1" applyBorder="1"/>
    <xf numFmtId="9" fontId="7" fillId="0" borderId="14" xfId="3" applyFont="1" applyBorder="1"/>
    <xf numFmtId="165" fontId="12" fillId="0" borderId="14" xfId="0" applyNumberFormat="1" applyFont="1" applyBorder="1"/>
    <xf numFmtId="9" fontId="12" fillId="0" borderId="14" xfId="0" applyNumberFormat="1" applyFont="1" applyBorder="1"/>
    <xf numFmtId="0" fontId="7" fillId="6" borderId="14" xfId="0" applyFont="1" applyFill="1" applyBorder="1"/>
    <xf numFmtId="9" fontId="7" fillId="0" borderId="14" xfId="0" applyNumberFormat="1" applyFont="1" applyBorder="1"/>
    <xf numFmtId="9" fontId="7" fillId="0" borderId="0" xfId="3" applyFont="1" applyBorder="1"/>
    <xf numFmtId="0" fontId="0" fillId="0" borderId="14" xfId="0" applyBorder="1"/>
    <xf numFmtId="0" fontId="9" fillId="3" borderId="2" xfId="0" applyFont="1" applyFill="1" applyBorder="1" applyAlignment="1">
      <alignment horizontal="center" vertical="center"/>
    </xf>
    <xf numFmtId="0" fontId="7" fillId="0" borderId="14" xfId="0" applyFont="1" applyBorder="1" applyAlignment="1">
      <alignment horizontal="center"/>
    </xf>
    <xf numFmtId="2" fontId="5" fillId="0" borderId="10" xfId="1" applyNumberFormat="1" applyFont="1" applyBorder="1"/>
    <xf numFmtId="2" fontId="5" fillId="5" borderId="10" xfId="1" applyNumberFormat="1" applyFont="1" applyFill="1" applyBorder="1"/>
    <xf numFmtId="49" fontId="5" fillId="5" borderId="9" xfId="1" applyNumberFormat="1" applyFont="1" applyFill="1" applyBorder="1"/>
    <xf numFmtId="49" fontId="5" fillId="0" borderId="10" xfId="1" applyNumberFormat="1" applyFont="1" applyBorder="1"/>
    <xf numFmtId="49" fontId="5" fillId="5" borderId="10" xfId="1" applyNumberFormat="1" applyFont="1" applyFill="1" applyBorder="1"/>
    <xf numFmtId="49" fontId="5" fillId="0" borderId="9" xfId="1" applyNumberFormat="1" applyFont="1" applyBorder="1"/>
    <xf numFmtId="49" fontId="5" fillId="0" borderId="11" xfId="1" applyNumberFormat="1" applyFont="1" applyBorder="1"/>
    <xf numFmtId="49" fontId="5" fillId="5" borderId="11" xfId="1" applyNumberFormat="1" applyFont="1" applyFill="1" applyBorder="1"/>
    <xf numFmtId="14" fontId="5" fillId="0" borderId="10" xfId="1" applyNumberFormat="1" applyFont="1" applyBorder="1"/>
    <xf numFmtId="14" fontId="5" fillId="5" borderId="10" xfId="1" applyNumberFormat="1" applyFont="1" applyFill="1" applyBorder="1"/>
    <xf numFmtId="164" fontId="5" fillId="0" borderId="10" xfId="1" applyNumberFormat="1" applyFont="1" applyBorder="1"/>
    <xf numFmtId="164" fontId="5" fillId="5" borderId="10" xfId="1" applyNumberFormat="1" applyFont="1" applyFill="1" applyBorder="1"/>
    <xf numFmtId="14" fontId="5" fillId="5" borderId="9" xfId="1" applyNumberFormat="1" applyFont="1" applyFill="1" applyBorder="1"/>
    <xf numFmtId="2" fontId="5" fillId="5" borderId="9" xfId="1" applyNumberFormat="1" applyFont="1" applyFill="1" applyBorder="1"/>
    <xf numFmtId="164" fontId="5" fillId="5" borderId="9" xfId="1" applyNumberFormat="1" applyFont="1" applyFill="1" applyBorder="1"/>
    <xf numFmtId="0" fontId="14" fillId="0" borderId="0" xfId="0" applyFont="1"/>
    <xf numFmtId="0" fontId="13" fillId="7" borderId="0" xfId="0" applyFont="1" applyFill="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4" fillId="4" borderId="26" xfId="1" applyFont="1" applyFill="1" applyBorder="1"/>
    <xf numFmtId="49" fontId="4" fillId="4" borderId="26" xfId="1" applyNumberFormat="1" applyFont="1" applyFill="1" applyBorder="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2" fontId="0" fillId="0" borderId="0" xfId="0" applyNumberFormat="1"/>
    <xf numFmtId="0" fontId="0" fillId="7" borderId="14" xfId="0" applyFill="1" applyBorder="1"/>
    <xf numFmtId="0" fontId="0" fillId="8" borderId="14" xfId="0" applyFill="1" applyBorder="1"/>
    <xf numFmtId="0" fontId="0" fillId="9" borderId="14" xfId="0" applyFill="1" applyBorder="1"/>
    <xf numFmtId="2" fontId="0" fillId="0" borderId="14" xfId="0" applyNumberFormat="1" applyBorder="1"/>
    <xf numFmtId="49" fontId="4" fillId="4" borderId="0" xfId="1" applyNumberFormat="1" applyFont="1" applyFill="1"/>
    <xf numFmtId="164" fontId="4" fillId="4" borderId="27" xfId="1" applyNumberFormat="1" applyFont="1" applyFill="1" applyBorder="1"/>
    <xf numFmtId="164" fontId="4" fillId="4" borderId="0" xfId="1" applyNumberFormat="1" applyFont="1" applyFill="1"/>
    <xf numFmtId="164" fontId="5" fillId="0" borderId="11" xfId="1" applyNumberFormat="1" applyFont="1" applyBorder="1"/>
    <xf numFmtId="0" fontId="5" fillId="0" borderId="0" xfId="1" applyFont="1"/>
    <xf numFmtId="0" fontId="15" fillId="0" borderId="0" xfId="4"/>
    <xf numFmtId="164" fontId="5" fillId="5" borderId="11" xfId="1" applyNumberFormat="1" applyFont="1" applyFill="1" applyBorder="1"/>
    <xf numFmtId="164" fontId="0" fillId="0" borderId="14" xfId="0" applyNumberFormat="1" applyBorder="1"/>
    <xf numFmtId="10" fontId="7" fillId="0" borderId="14" xfId="3" applyNumberFormat="1" applyFont="1" applyBorder="1"/>
    <xf numFmtId="14" fontId="5" fillId="0" borderId="10" xfId="0" applyNumberFormat="1" applyFont="1" applyBorder="1"/>
    <xf numFmtId="49" fontId="5" fillId="0" borderId="10" xfId="0" applyNumberFormat="1" applyFont="1" applyBorder="1"/>
    <xf numFmtId="2" fontId="5" fillId="0" borderId="10" xfId="0" applyNumberFormat="1" applyFont="1" applyBorder="1"/>
    <xf numFmtId="164" fontId="5" fillId="0" borderId="10" xfId="0" applyNumberFormat="1" applyFont="1" applyBorder="1"/>
    <xf numFmtId="164" fontId="5" fillId="0" borderId="11" xfId="0" applyNumberFormat="1" applyFont="1" applyBorder="1"/>
    <xf numFmtId="0" fontId="5" fillId="0" borderId="0" xfId="0" applyFont="1"/>
    <xf numFmtId="0" fontId="13" fillId="0" borderId="0" xfId="0" applyFont="1"/>
    <xf numFmtId="164" fontId="17" fillId="4" borderId="0" xfId="1" applyNumberFormat="1" applyFont="1" applyFill="1"/>
    <xf numFmtId="22" fontId="0" fillId="0" borderId="0" xfId="0" applyNumberFormat="1"/>
    <xf numFmtId="0" fontId="0" fillId="0" borderId="14" xfId="0" applyBorder="1" applyAlignment="1">
      <alignment horizont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9" fillId="3" borderId="0" xfId="0" applyFont="1" applyFill="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2" fillId="3" borderId="2" xfId="0" applyFont="1" applyFill="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6" xfId="0" applyFont="1" applyBorder="1" applyAlignment="1">
      <alignment horizontal="center"/>
    </xf>
    <xf numFmtId="0" fontId="9" fillId="2" borderId="14" xfId="0" applyFont="1" applyFill="1" applyBorder="1" applyAlignment="1">
      <alignment horizontal="center"/>
    </xf>
    <xf numFmtId="0" fontId="9" fillId="2" borderId="6" xfId="0" applyFont="1" applyFill="1" applyBorder="1" applyAlignment="1">
      <alignment horizontal="center"/>
    </xf>
    <xf numFmtId="0" fontId="9" fillId="2" borderId="7" xfId="0" applyFont="1" applyFill="1" applyBorder="1" applyAlignment="1">
      <alignment horizont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9" fillId="3" borderId="2" xfId="0" applyFont="1" applyFill="1" applyBorder="1" applyAlignment="1">
      <alignment horizontal="center" vertical="center"/>
    </xf>
    <xf numFmtId="0" fontId="7" fillId="6" borderId="14" xfId="0" applyFont="1" applyFill="1" applyBorder="1" applyAlignment="1">
      <alignment horizontal="center"/>
    </xf>
    <xf numFmtId="0" fontId="7" fillId="0" borderId="14" xfId="0" applyFont="1" applyBorder="1" applyAlignment="1">
      <alignment horizontal="center"/>
    </xf>
    <xf numFmtId="0" fontId="11" fillId="3" borderId="12" xfId="0" applyFont="1" applyFill="1" applyBorder="1" applyAlignment="1">
      <alignment horizontal="center" wrapText="1"/>
    </xf>
    <xf numFmtId="0" fontId="11" fillId="3" borderId="16" xfId="0" applyFont="1" applyFill="1" applyBorder="1" applyAlignment="1">
      <alignment horizontal="center" wrapText="1"/>
    </xf>
    <xf numFmtId="0" fontId="9" fillId="2" borderId="12" xfId="0" applyFont="1" applyFill="1" applyBorder="1" applyAlignment="1">
      <alignment horizontal="center"/>
    </xf>
    <xf numFmtId="0" fontId="9" fillId="2" borderId="13" xfId="0" applyFont="1" applyFill="1" applyBorder="1" applyAlignment="1">
      <alignment horizontal="center"/>
    </xf>
    <xf numFmtId="0" fontId="0" fillId="0" borderId="0" xfId="0" applyAlignment="1">
      <alignment horizontal="center"/>
    </xf>
  </cellXfs>
  <cellStyles count="5">
    <cellStyle name="Hipervínculo" xfId="4" builtinId="8"/>
    <cellStyle name="Moneda" xfId="2" builtinId="4"/>
    <cellStyle name="Normal" xfId="0" builtinId="0"/>
    <cellStyle name="Normal 2" xfId="1" xr:uid="{46724E63-4D50-49EC-943B-F907471AAEA5}"/>
    <cellStyle name="Porcentaje" xfId="3" builtinId="5"/>
  </cellStyles>
  <dxfs count="41">
    <dxf>
      <font>
        <b val="0"/>
      </font>
    </dxf>
    <dxf>
      <font>
        <b val="0"/>
      </font>
    </dxf>
    <dxf>
      <font>
        <b val="0"/>
      </font>
    </dxf>
    <dxf>
      <font>
        <b val="0"/>
      </font>
    </dxf>
    <dxf>
      <font>
        <b val="0"/>
        <i val="0"/>
        <strike val="0"/>
        <condense val="0"/>
        <extend val="0"/>
        <outline val="0"/>
        <shadow val="0"/>
        <u val="none"/>
        <vertAlign val="baseline"/>
        <sz val="11"/>
        <color theme="1"/>
        <name val="Roboto"/>
        <scheme val="none"/>
      </font>
    </dxf>
    <dxf>
      <font>
        <b val="0"/>
        <i val="0"/>
        <strike val="0"/>
        <condense val="0"/>
        <extend val="0"/>
        <outline val="0"/>
        <shadow val="0"/>
        <u val="none"/>
        <vertAlign val="baseline"/>
        <sz val="11"/>
        <color theme="1"/>
        <name val="Roboto"/>
        <scheme val="none"/>
      </font>
    </dxf>
    <dxf>
      <font>
        <b val="0"/>
        <i val="0"/>
        <strike val="0"/>
        <condense val="0"/>
        <extend val="0"/>
        <outline val="0"/>
        <shadow val="0"/>
        <u val="none"/>
        <vertAlign val="baseline"/>
        <sz val="11"/>
        <color theme="1"/>
        <name val="Roboto"/>
        <scheme val="none"/>
      </font>
    </dxf>
    <dxf>
      <font>
        <b val="0"/>
        <i val="0"/>
        <strike val="0"/>
        <condense val="0"/>
        <extend val="0"/>
        <outline val="0"/>
        <shadow val="0"/>
        <u val="none"/>
        <vertAlign val="baseline"/>
        <sz val="11"/>
        <color theme="1"/>
        <name val="Roboto"/>
        <scheme val="none"/>
      </font>
    </dxf>
    <dxf>
      <font>
        <b val="0"/>
        <i val="0"/>
        <strike val="0"/>
        <condense val="0"/>
        <extend val="0"/>
        <outline val="0"/>
        <shadow val="0"/>
        <u val="none"/>
        <vertAlign val="baseline"/>
        <sz val="11"/>
        <color theme="1"/>
        <name val="Roboto"/>
        <scheme val="none"/>
      </font>
    </dxf>
    <dxf>
      <font>
        <b val="0"/>
        <i val="0"/>
        <strike val="0"/>
        <condense val="0"/>
        <extend val="0"/>
        <outline val="0"/>
        <shadow val="0"/>
        <u val="none"/>
        <vertAlign val="baseline"/>
        <sz val="11"/>
        <color theme="1"/>
        <name val="Roboto"/>
        <scheme val="none"/>
      </font>
    </dxf>
    <dxf>
      <font>
        <b val="0"/>
        <i val="0"/>
        <strike val="0"/>
        <condense val="0"/>
        <extend val="0"/>
        <outline val="0"/>
        <shadow val="0"/>
        <u val="none"/>
        <vertAlign val="baseline"/>
        <sz val="11"/>
        <color theme="1"/>
        <name val="Roboto"/>
        <scheme val="none"/>
      </font>
    </dxf>
    <dxf>
      <font>
        <b val="0"/>
        <i val="0"/>
        <strike val="0"/>
        <condense val="0"/>
        <extend val="0"/>
        <outline val="0"/>
        <shadow val="0"/>
        <u val="none"/>
        <vertAlign val="baseline"/>
        <sz val="11"/>
        <color theme="1"/>
        <name val="Roboto"/>
        <scheme val="none"/>
      </font>
    </dxf>
    <dxf>
      <font>
        <b val="0"/>
        <i val="0"/>
        <strike val="0"/>
        <condense val="0"/>
        <extend val="0"/>
        <outline val="0"/>
        <shadow val="0"/>
        <u val="none"/>
        <vertAlign val="baseline"/>
        <sz val="12"/>
        <color theme="1"/>
        <name val="Roboto"/>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Roboto"/>
        <scheme val="none"/>
      </font>
      <numFmt numFmtId="0" formatCode="General"/>
    </dxf>
    <dxf>
      <font>
        <b val="0"/>
        <i val="0"/>
        <strike val="0"/>
        <condense val="0"/>
        <extend val="0"/>
        <outline val="0"/>
        <shadow val="0"/>
        <u val="none"/>
        <vertAlign val="baseline"/>
        <sz val="12"/>
        <color theme="1"/>
        <name val="Roboto"/>
        <scheme val="none"/>
      </font>
      <numFmt numFmtId="164" formatCode="_(&quot;$&quot;* #,##0.00_);_(&quot;$&quot;* \(#,##0.00\);_(&quot;$&quot;* &quot;-&quot;??_);_(@_)"/>
      <fill>
        <patternFill patternType="none">
          <fgColor indexed="64"/>
          <bgColor indexed="65"/>
        </patternFill>
      </fill>
      <alignment horizontal="general" vertical="bottom" textRotation="0" wrapText="0" indent="0" justifyLastLine="0" shrinkToFit="0" readingOrder="0"/>
      <border diagonalUp="0" diagonalDown="0" outline="0">
        <left style="thin">
          <color theme="0" tint="-0.249977111117893"/>
        </left>
        <right/>
        <top style="thin">
          <color theme="0" tint="-0.249977111117893"/>
        </top>
        <bottom/>
      </border>
      <protection locked="1" hidden="0"/>
    </dxf>
    <dxf>
      <font>
        <b val="0"/>
        <i val="0"/>
        <strike val="0"/>
        <condense val="0"/>
        <extend val="0"/>
        <outline val="0"/>
        <shadow val="0"/>
        <u val="none"/>
        <vertAlign val="baseline"/>
        <sz val="12"/>
        <color theme="1"/>
        <name val="Roboto"/>
        <scheme val="none"/>
      </font>
      <numFmt numFmtId="164" formatCode="_(&quot;$&quot;* #,##0.00_);_(&quot;$&quot;* \(#,##0.00\);_(&quot;$&quot;* &quot;-&quot;??_);_(@_)"/>
      <border diagonalUp="0" diagonalDown="0" outline="0">
        <left style="thin">
          <color theme="0" tint="-0.249977111117893"/>
        </left>
        <right/>
        <top style="thin">
          <color theme="0" tint="-0.249977111117893"/>
        </top>
        <bottom/>
      </border>
    </dxf>
    <dxf>
      <font>
        <b val="0"/>
        <i val="0"/>
        <strike val="0"/>
        <condense val="0"/>
        <extend val="0"/>
        <outline val="0"/>
        <shadow val="0"/>
        <u val="none"/>
        <vertAlign val="baseline"/>
        <sz val="12"/>
        <color theme="1"/>
        <name val="Roboto"/>
        <scheme val="none"/>
      </font>
      <numFmt numFmtId="164" formatCode="_(&quot;$&quot;* #,##0.00_);_(&quot;$&quot;* \(#,##0.00\);_(&quot;$&quot;* &quot;-&quot;??_);_(@_)"/>
      <fill>
        <patternFill patternType="none">
          <fgColor indexed="64"/>
          <bgColor indexed="65"/>
        </patternFill>
      </fill>
      <alignment horizontal="general" vertical="bottom" textRotation="0" wrapText="0" indent="0" justifyLastLine="0" shrinkToFit="0" readingOrder="0"/>
      <border diagonalUp="0" diagonalDown="0" outline="0">
        <left style="thin">
          <color theme="0" tint="-0.249977111117893"/>
        </left>
        <right/>
        <top/>
        <bottom/>
      </border>
      <protection locked="1" hidden="0"/>
    </dxf>
    <dxf>
      <font>
        <b val="0"/>
        <i val="0"/>
        <strike val="0"/>
        <condense val="0"/>
        <extend val="0"/>
        <outline val="0"/>
        <shadow val="0"/>
        <u val="none"/>
        <vertAlign val="baseline"/>
        <sz val="12"/>
        <color theme="1"/>
        <name val="Roboto"/>
        <scheme val="none"/>
      </font>
      <numFmt numFmtId="164" formatCode="_(&quot;$&quot;* #,##0.00_);_(&quot;$&quot;* \(#,##0.00\);_(&quot;$&quot;* &quot;-&quot;??_);_(@_)"/>
      <border diagonalUp="0" diagonalDown="0">
        <left style="thin">
          <color theme="0" tint="-0.249977111117893"/>
        </left>
        <right/>
        <top/>
        <bottom/>
        <vertical/>
        <horizontal/>
      </border>
    </dxf>
    <dxf>
      <font>
        <b val="0"/>
        <i val="0"/>
        <strike val="0"/>
        <condense val="0"/>
        <extend val="0"/>
        <outline val="0"/>
        <shadow val="0"/>
        <u val="none"/>
        <vertAlign val="baseline"/>
        <sz val="12"/>
        <color theme="1"/>
        <name val="Roboto"/>
        <scheme val="none"/>
      </font>
      <numFmt numFmtId="164" formatCode="_(&quot;$&quot;* #,##0.00_);_(&quot;$&quot;* \(#,##0.00\);_(&quot;$&quot;* &quot;-&quot;??_);_(@_)"/>
      <fill>
        <patternFill patternType="none">
          <fgColor indexed="64"/>
          <bgColor indexed="65"/>
        </patternFill>
      </fill>
      <alignment horizontal="general" vertical="bottom" textRotation="0" wrapText="0" indent="0" justifyLastLine="0" shrinkToFit="0" readingOrder="0"/>
      <border diagonalUp="0" diagonalDown="0" outline="0">
        <left style="thin">
          <color theme="0" tint="-0.249977111117893"/>
        </left>
        <right/>
        <top style="thin">
          <color theme="0" tint="-0.249977111117893"/>
        </top>
        <bottom/>
      </border>
      <protection locked="1" hidden="0"/>
    </dxf>
    <dxf>
      <font>
        <b val="0"/>
        <i val="0"/>
        <strike val="0"/>
        <condense val="0"/>
        <extend val="0"/>
        <outline val="0"/>
        <shadow val="0"/>
        <u val="none"/>
        <vertAlign val="baseline"/>
        <sz val="12"/>
        <color theme="1"/>
        <name val="Roboto"/>
        <scheme val="none"/>
      </font>
      <numFmt numFmtId="164" formatCode="_(&quot;$&quot;* #,##0.00_);_(&quot;$&quot;* \(#,##0.00\);_(&quot;$&quot;* &quot;-&quot;??_);_(@_)"/>
      <border diagonalUp="0" diagonalDown="0" outline="0">
        <left style="thin">
          <color theme="0" tint="-0.249977111117893"/>
        </left>
        <right/>
        <top style="thin">
          <color theme="0" tint="-0.249977111117893"/>
        </top>
        <bottom/>
      </border>
    </dxf>
    <dxf>
      <font>
        <b val="0"/>
        <i val="0"/>
        <strike val="0"/>
        <condense val="0"/>
        <extend val="0"/>
        <outline val="0"/>
        <shadow val="0"/>
        <u val="none"/>
        <vertAlign val="baseline"/>
        <sz val="12"/>
        <color theme="1"/>
        <name val="Roboto"/>
        <scheme val="none"/>
      </font>
      <numFmt numFmtId="2" formatCode="0.00"/>
      <fill>
        <patternFill patternType="none">
          <fgColor indexed="64"/>
          <bgColor indexed="65"/>
        </patternFill>
      </fill>
      <alignment horizontal="general" vertical="bottom" textRotation="0" wrapText="0" indent="0" justifyLastLine="0" shrinkToFit="0" readingOrder="0"/>
      <border diagonalUp="0" diagonalDown="0" outline="0">
        <left style="thin">
          <color theme="0" tint="-0.249977111117893"/>
        </left>
        <right/>
        <top style="thin">
          <color theme="0" tint="-0.249977111117893"/>
        </top>
        <bottom/>
      </border>
      <protection locked="1" hidden="0"/>
    </dxf>
    <dxf>
      <font>
        <b val="0"/>
        <i val="0"/>
        <strike val="0"/>
        <condense val="0"/>
        <extend val="0"/>
        <outline val="0"/>
        <shadow val="0"/>
        <u val="none"/>
        <vertAlign val="baseline"/>
        <sz val="12"/>
        <color theme="1"/>
        <name val="Roboto"/>
        <scheme val="none"/>
      </font>
      <numFmt numFmtId="2" formatCode="0.00"/>
      <border diagonalUp="0" diagonalDown="0">
        <left style="thin">
          <color theme="0" tint="-0.249977111117893"/>
        </left>
        <right/>
        <top style="thin">
          <color theme="0" tint="-0.249977111117893"/>
        </top>
        <bottom/>
        <vertical/>
        <horizontal/>
      </border>
    </dxf>
    <dxf>
      <font>
        <b val="0"/>
        <i val="0"/>
        <strike val="0"/>
        <condense val="0"/>
        <extend val="0"/>
        <outline val="0"/>
        <shadow val="0"/>
        <u val="none"/>
        <vertAlign val="baseline"/>
        <sz val="12"/>
        <color theme="1"/>
        <name val="Roboto"/>
        <scheme val="none"/>
      </font>
      <numFmt numFmtId="30" formatCode="@"/>
      <fill>
        <patternFill patternType="none">
          <fgColor indexed="64"/>
          <bgColor indexed="65"/>
        </patternFill>
      </fill>
      <alignment horizontal="general" vertical="bottom" textRotation="0" wrapText="0" indent="0" justifyLastLine="0" shrinkToFit="0" readingOrder="0"/>
      <border diagonalUp="0" diagonalDown="0" outline="0">
        <left style="thin">
          <color theme="0" tint="-0.249977111117893"/>
        </left>
        <right/>
        <top style="thin">
          <color theme="0" tint="-0.249977111117893"/>
        </top>
        <bottom/>
      </border>
      <protection locked="1" hidden="0"/>
    </dxf>
    <dxf>
      <font>
        <b val="0"/>
        <i val="0"/>
        <strike val="0"/>
        <condense val="0"/>
        <extend val="0"/>
        <outline val="0"/>
        <shadow val="0"/>
        <u val="none"/>
        <vertAlign val="baseline"/>
        <sz val="12"/>
        <color theme="1"/>
        <name val="Roboto"/>
        <scheme val="none"/>
      </font>
      <numFmt numFmtId="30" formatCode="@"/>
      <border diagonalUp="0" diagonalDown="0">
        <left style="thin">
          <color theme="0" tint="-0.249977111117893"/>
        </left>
        <right/>
        <top style="thin">
          <color theme="0" tint="-0.249977111117893"/>
        </top>
        <bottom/>
        <vertical/>
        <horizontal/>
      </border>
    </dxf>
    <dxf>
      <font>
        <b val="0"/>
        <i val="0"/>
        <strike val="0"/>
        <condense val="0"/>
        <extend val="0"/>
        <outline val="0"/>
        <shadow val="0"/>
        <u val="none"/>
        <vertAlign val="baseline"/>
        <sz val="12"/>
        <color theme="1"/>
        <name val="Roboto"/>
        <scheme val="none"/>
      </font>
      <numFmt numFmtId="30" formatCode="@"/>
      <fill>
        <patternFill patternType="none">
          <fgColor indexed="64"/>
          <bgColor indexed="65"/>
        </patternFill>
      </fill>
      <alignment horizontal="general" vertical="bottom" textRotation="0" wrapText="0" indent="0" justifyLastLine="0" shrinkToFit="0" readingOrder="0"/>
      <border diagonalUp="0" diagonalDown="0" outline="0">
        <left style="thin">
          <color theme="0" tint="-0.249977111117893"/>
        </left>
        <right/>
        <top style="thin">
          <color theme="0" tint="-0.249977111117893"/>
        </top>
        <bottom/>
      </border>
      <protection locked="1" hidden="0"/>
    </dxf>
    <dxf>
      <font>
        <b val="0"/>
        <i val="0"/>
        <strike val="0"/>
        <condense val="0"/>
        <extend val="0"/>
        <outline val="0"/>
        <shadow val="0"/>
        <u val="none"/>
        <vertAlign val="baseline"/>
        <sz val="12"/>
        <color theme="1"/>
        <name val="Roboto"/>
        <scheme val="none"/>
      </font>
      <numFmt numFmtId="30" formatCode="@"/>
      <border diagonalUp="0" diagonalDown="0">
        <left style="thin">
          <color theme="0" tint="-0.249977111117893"/>
        </left>
        <right/>
        <top style="thin">
          <color theme="0" tint="-0.249977111117893"/>
        </top>
        <bottom/>
        <vertical/>
        <horizontal/>
      </border>
    </dxf>
    <dxf>
      <font>
        <b val="0"/>
        <i val="0"/>
        <strike val="0"/>
        <condense val="0"/>
        <extend val="0"/>
        <outline val="0"/>
        <shadow val="0"/>
        <u val="none"/>
        <vertAlign val="baseline"/>
        <sz val="12"/>
        <color theme="1"/>
        <name val="Roboto"/>
        <scheme val="none"/>
      </font>
      <numFmt numFmtId="30" formatCode="@"/>
      <fill>
        <patternFill patternType="none">
          <fgColor indexed="64"/>
          <bgColor indexed="65"/>
        </patternFill>
      </fill>
      <alignment horizontal="general" vertical="bottom" textRotation="0" wrapText="0" indent="0" justifyLastLine="0" shrinkToFit="0" readingOrder="0"/>
      <border diagonalUp="0" diagonalDown="0" outline="0">
        <left style="thin">
          <color theme="0" tint="-0.249977111117893"/>
        </left>
        <right/>
        <top style="thin">
          <color theme="0" tint="-0.249977111117893"/>
        </top>
        <bottom/>
      </border>
      <protection locked="1" hidden="0"/>
    </dxf>
    <dxf>
      <font>
        <b val="0"/>
        <i val="0"/>
        <strike val="0"/>
        <condense val="0"/>
        <extend val="0"/>
        <outline val="0"/>
        <shadow val="0"/>
        <u val="none"/>
        <vertAlign val="baseline"/>
        <sz val="12"/>
        <color theme="1"/>
        <name val="Roboto"/>
        <scheme val="none"/>
      </font>
      <numFmt numFmtId="30" formatCode="@"/>
      <border diagonalUp="0" diagonalDown="0">
        <left style="thin">
          <color theme="0" tint="-0.249977111117893"/>
        </left>
        <right/>
        <top style="thin">
          <color theme="0" tint="-0.249977111117893"/>
        </top>
        <bottom/>
        <vertical/>
        <horizontal/>
      </border>
    </dxf>
    <dxf>
      <font>
        <b val="0"/>
        <i val="0"/>
        <strike val="0"/>
        <condense val="0"/>
        <extend val="0"/>
        <outline val="0"/>
        <shadow val="0"/>
        <u val="none"/>
        <vertAlign val="baseline"/>
        <sz val="12"/>
        <color theme="1"/>
        <name val="Roboto"/>
        <scheme val="none"/>
      </font>
      <numFmt numFmtId="30" formatCode="@"/>
      <fill>
        <patternFill patternType="none">
          <fgColor indexed="64"/>
          <bgColor indexed="65"/>
        </patternFill>
      </fill>
      <alignment horizontal="general" vertical="bottom" textRotation="0" wrapText="0" indent="0" justifyLastLine="0" shrinkToFit="0" readingOrder="0"/>
      <border diagonalUp="0" diagonalDown="0" outline="0">
        <left style="thin">
          <color theme="0" tint="-0.249977111117893"/>
        </left>
        <right/>
        <top style="thin">
          <color theme="0" tint="-0.249977111117893"/>
        </top>
        <bottom/>
      </border>
      <protection locked="1" hidden="0"/>
    </dxf>
    <dxf>
      <font>
        <b val="0"/>
        <i val="0"/>
        <strike val="0"/>
        <condense val="0"/>
        <extend val="0"/>
        <outline val="0"/>
        <shadow val="0"/>
        <u val="none"/>
        <vertAlign val="baseline"/>
        <sz val="12"/>
        <color theme="1"/>
        <name val="Roboto"/>
        <scheme val="none"/>
      </font>
      <numFmt numFmtId="30" formatCode="@"/>
      <border diagonalUp="0" diagonalDown="0">
        <left style="thin">
          <color theme="0" tint="-0.249977111117893"/>
        </left>
        <right/>
        <top style="thin">
          <color theme="0" tint="-0.249977111117893"/>
        </top>
        <bottom/>
        <vertical/>
        <horizontal/>
      </border>
    </dxf>
    <dxf>
      <font>
        <b val="0"/>
        <i val="0"/>
        <strike val="0"/>
        <condense val="0"/>
        <extend val="0"/>
        <outline val="0"/>
        <shadow val="0"/>
        <u val="none"/>
        <vertAlign val="baseline"/>
        <sz val="12"/>
        <color theme="1"/>
        <name val="Roboto"/>
        <scheme val="none"/>
      </font>
      <numFmt numFmtId="166" formatCode="m/d/yyyy"/>
      <fill>
        <patternFill patternType="none">
          <fgColor indexed="64"/>
          <bgColor indexed="65"/>
        </patternFill>
      </fill>
      <alignment horizontal="general" vertical="bottom" textRotation="0" wrapText="0" indent="0" justifyLastLine="0" shrinkToFit="0" readingOrder="0"/>
      <border diagonalUp="0" diagonalDown="0" outline="0">
        <left style="thin">
          <color theme="0" tint="-0.249977111117893"/>
        </left>
        <right/>
        <top style="thin">
          <color theme="0" tint="-0.249977111117893"/>
        </top>
        <bottom/>
      </border>
      <protection locked="1" hidden="0"/>
    </dxf>
    <dxf>
      <font>
        <b val="0"/>
        <i val="0"/>
        <strike val="0"/>
        <condense val="0"/>
        <extend val="0"/>
        <outline val="0"/>
        <shadow val="0"/>
        <u val="none"/>
        <vertAlign val="baseline"/>
        <sz val="12"/>
        <color theme="1"/>
        <name val="Roboto"/>
        <scheme val="none"/>
      </font>
      <numFmt numFmtId="166" formatCode="m/d/yyyy"/>
      <border diagonalUp="0" diagonalDown="0">
        <left style="thin">
          <color theme="0" tint="-0.249977111117893"/>
        </left>
        <right/>
        <top style="thin">
          <color theme="0" tint="-0.249977111117893"/>
        </top>
        <bottom/>
        <vertical/>
        <horizontal/>
      </border>
    </dxf>
    <dxf>
      <border outline="0">
        <top style="thin">
          <color theme="0" tint="-0.24994659260841701"/>
        </top>
        <bottom style="thin">
          <color theme="1"/>
        </bottom>
      </border>
    </dxf>
    <dxf>
      <font>
        <b val="0"/>
        <i val="0"/>
        <strike val="0"/>
        <condense val="0"/>
        <extend val="0"/>
        <outline val="0"/>
        <shadow val="0"/>
        <u val="none"/>
        <vertAlign val="baseline"/>
        <sz val="12"/>
        <color theme="1"/>
        <name val="Roboto"/>
        <scheme val="none"/>
      </font>
    </dxf>
    <dxf>
      <font>
        <b/>
        <i val="0"/>
        <strike val="0"/>
        <condense val="0"/>
        <extend val="0"/>
        <outline val="0"/>
        <shadow val="0"/>
        <u val="none"/>
        <vertAlign val="baseline"/>
        <sz val="12"/>
        <color theme="0"/>
        <name val="Roboto"/>
        <scheme val="none"/>
      </font>
      <numFmt numFmtId="30" formatCode="@"/>
      <fill>
        <patternFill patternType="solid">
          <fgColor indexed="64"/>
          <bgColor rgb="FF00C6A9"/>
        </patternFill>
      </fill>
    </dxf>
    <dxf>
      <numFmt numFmtId="0" formatCode="General"/>
    </dxf>
    <dxf>
      <numFmt numFmtId="0" formatCode="General"/>
    </dxf>
    <dxf>
      <numFmt numFmtId="0" formatCode="General"/>
    </dxf>
    <dxf>
      <numFmt numFmtId="0" formatCode="General"/>
    </dxf>
    <dxf>
      <numFmt numFmtId="0" formatCode="General"/>
    </dxf>
    <dxf>
      <numFmt numFmtId="16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10/relationships/person" Target="persons/person.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[Excel_Portfolio_Sebastian_Morales.xlsx]Calculus_DB!PivotTable3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layout>
        <c:manualLayout>
          <c:xMode val="edge"/>
          <c:yMode val="edge"/>
          <c:x val="0.24484643366947553"/>
          <c:y val="0.1384649077018357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Calculus_DB!$C$3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EB-474C-96C8-55B307DFF3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EB-474C-96C8-55B307DFF3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EB-474C-96C8-55B307DFF3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EB-474C-96C8-55B307DFF39F}"/>
              </c:ext>
            </c:extLst>
          </c:dPt>
          <c:cat>
            <c:strRef>
              <c:f>Calculus_DB!$B$4:$B$8</c:f>
              <c:strCache>
                <c:ptCount val="4"/>
                <c:pt idx="0">
                  <c:v>North</c:v>
                </c:pt>
                <c:pt idx="1">
                  <c:v>South</c:v>
                </c:pt>
                <c:pt idx="2">
                  <c:v>West</c:v>
                </c:pt>
                <c:pt idx="3">
                  <c:v>East</c:v>
                </c:pt>
              </c:strCache>
            </c:strRef>
          </c:cat>
          <c:val>
            <c:numRef>
              <c:f>Calculus_DB!$C$4:$C$8</c:f>
              <c:numCache>
                <c:formatCode>_("$"* #,##0.00_);_("$"* \(#,##0.00\);_("$"* "-"??_);_(@_)</c:formatCode>
                <c:ptCount val="4"/>
                <c:pt idx="0">
                  <c:v>8709</c:v>
                </c:pt>
                <c:pt idx="1">
                  <c:v>5086</c:v>
                </c:pt>
                <c:pt idx="2">
                  <c:v>8873</c:v>
                </c:pt>
                <c:pt idx="3">
                  <c:v>3730</c:v>
                </c:pt>
              </c:numCache>
            </c:numRef>
          </c:val>
          <c:extLst>
            <c:ext xmlns:c16="http://schemas.microsoft.com/office/drawing/2014/chart" uri="{C3380CC4-5D6E-409C-BE32-E72D297353CC}">
              <c16:uniqueId val="{00000008-EFEB-474C-96C8-55B307DFF3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[Excel_Portfolio_Sebastian_Morales.xlsx]Calculus_DB!PivotTable5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Calculus_DB!$C$11</c:f>
              <c:strCache>
                <c:ptCount val="1"/>
                <c:pt idx="0">
                  <c:v>Total</c:v>
                </c:pt>
              </c:strCache>
            </c:strRef>
          </c:tx>
          <c:spPr>
            <a:solidFill>
              <a:schemeClr val="accent1"/>
            </a:solidFill>
            <a:ln>
              <a:noFill/>
            </a:ln>
            <a:effectLst/>
          </c:spPr>
          <c:invertIfNegative val="0"/>
          <c:cat>
            <c:strRef>
              <c:f>Calculus_DB!$B$12:$B$18</c:f>
              <c:strCache>
                <c:ptCount val="6"/>
                <c:pt idx="0">
                  <c:v>PETE</c:v>
                </c:pt>
                <c:pt idx="1">
                  <c:v>EDGAR</c:v>
                </c:pt>
                <c:pt idx="2">
                  <c:v>MARIO</c:v>
                </c:pt>
                <c:pt idx="3">
                  <c:v>LAUREN</c:v>
                </c:pt>
                <c:pt idx="4">
                  <c:v>HARRY</c:v>
                </c:pt>
                <c:pt idx="5">
                  <c:v>MONIQUE</c:v>
                </c:pt>
              </c:strCache>
            </c:strRef>
          </c:cat>
          <c:val>
            <c:numRef>
              <c:f>Calculus_DB!$C$12:$C$18</c:f>
              <c:numCache>
                <c:formatCode>_("$"* #,##0.00_);_("$"* \(#,##0.00\);_("$"* "-"??_);_(@_)</c:formatCode>
                <c:ptCount val="6"/>
                <c:pt idx="0">
                  <c:v>7834</c:v>
                </c:pt>
                <c:pt idx="1">
                  <c:v>4591</c:v>
                </c:pt>
                <c:pt idx="2">
                  <c:v>4438</c:v>
                </c:pt>
                <c:pt idx="3">
                  <c:v>4076</c:v>
                </c:pt>
                <c:pt idx="4">
                  <c:v>3799</c:v>
                </c:pt>
                <c:pt idx="5">
                  <c:v>1660</c:v>
                </c:pt>
              </c:numCache>
            </c:numRef>
          </c:val>
          <c:extLst>
            <c:ext xmlns:c16="http://schemas.microsoft.com/office/drawing/2014/chart" uri="{C3380CC4-5D6E-409C-BE32-E72D297353CC}">
              <c16:uniqueId val="{00000000-C2F7-4905-8F03-401F30A4D667}"/>
            </c:ext>
          </c:extLst>
        </c:ser>
        <c:dLbls>
          <c:showLegendKey val="0"/>
          <c:showVal val="0"/>
          <c:showCatName val="0"/>
          <c:showSerName val="0"/>
          <c:showPercent val="0"/>
          <c:showBubbleSize val="0"/>
        </c:dLbls>
        <c:gapWidth val="182"/>
        <c:axId val="410221200"/>
        <c:axId val="797478736"/>
      </c:barChart>
      <c:catAx>
        <c:axId val="41022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478736"/>
        <c:crosses val="autoZero"/>
        <c:auto val="1"/>
        <c:lblAlgn val="ctr"/>
        <c:lblOffset val="100"/>
        <c:noMultiLvlLbl val="0"/>
      </c:catAx>
      <c:valAx>
        <c:axId val="79747873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2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[Excel_Portfolio_Sebastian_Morales.xlsx]Calculus_DB!PivotTable6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tendency over time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Calculus_DB!$C$21</c:f>
              <c:strCache>
                <c:ptCount val="1"/>
                <c:pt idx="0">
                  <c:v>Total</c:v>
                </c:pt>
              </c:strCache>
            </c:strRef>
          </c:tx>
          <c:spPr>
            <a:ln w="28575" cap="rnd">
              <a:solidFill>
                <a:schemeClr val="accent1"/>
              </a:solidFill>
              <a:round/>
            </a:ln>
            <a:effectLst/>
          </c:spPr>
          <c:marker>
            <c:symbol val="none"/>
          </c:marker>
          <c:cat>
            <c:multiLvlStrRef>
              <c:f>Calculus_DB!$B$22:$B$70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2016</c:v>
                  </c:pt>
                  <c:pt idx="12">
                    <c:v>2017</c:v>
                  </c:pt>
                  <c:pt idx="24">
                    <c:v>2018</c:v>
                  </c:pt>
                  <c:pt idx="36">
                    <c:v>2019</c:v>
                  </c:pt>
                </c:lvl>
              </c:multiLvlStrCache>
            </c:multiLvlStrRef>
          </c:cat>
          <c:val>
            <c:numRef>
              <c:f>Calculus_DB!$C$22:$C$70</c:f>
              <c:numCache>
                <c:formatCode>_("$"* #,##0.00_);_("$"* \(#,##0.00\);_("$"* "-"??_);_(@_)</c:formatCode>
                <c:ptCount val="44"/>
                <c:pt idx="0">
                  <c:v>217</c:v>
                </c:pt>
                <c:pt idx="1">
                  <c:v>186</c:v>
                </c:pt>
                <c:pt idx="2">
                  <c:v>232</c:v>
                </c:pt>
                <c:pt idx="3">
                  <c:v>328</c:v>
                </c:pt>
                <c:pt idx="4">
                  <c:v>199</c:v>
                </c:pt>
                <c:pt idx="5">
                  <c:v>213</c:v>
                </c:pt>
                <c:pt idx="6">
                  <c:v>187</c:v>
                </c:pt>
                <c:pt idx="7">
                  <c:v>277</c:v>
                </c:pt>
                <c:pt idx="8">
                  <c:v>405</c:v>
                </c:pt>
                <c:pt idx="9">
                  <c:v>355</c:v>
                </c:pt>
                <c:pt idx="10">
                  <c:v>331</c:v>
                </c:pt>
                <c:pt idx="11">
                  <c:v>517</c:v>
                </c:pt>
                <c:pt idx="12">
                  <c:v>516</c:v>
                </c:pt>
                <c:pt idx="13">
                  <c:v>438</c:v>
                </c:pt>
                <c:pt idx="14">
                  <c:v>568</c:v>
                </c:pt>
                <c:pt idx="15">
                  <c:v>383</c:v>
                </c:pt>
                <c:pt idx="16">
                  <c:v>525</c:v>
                </c:pt>
                <c:pt idx="17">
                  <c:v>579</c:v>
                </c:pt>
                <c:pt idx="18">
                  <c:v>506</c:v>
                </c:pt>
                <c:pt idx="19">
                  <c:v>624</c:v>
                </c:pt>
                <c:pt idx="20">
                  <c:v>467</c:v>
                </c:pt>
                <c:pt idx="21">
                  <c:v>651</c:v>
                </c:pt>
                <c:pt idx="22">
                  <c:v>609</c:v>
                </c:pt>
                <c:pt idx="23">
                  <c:v>725</c:v>
                </c:pt>
                <c:pt idx="24">
                  <c:v>859</c:v>
                </c:pt>
                <c:pt idx="25">
                  <c:v>498</c:v>
                </c:pt>
                <c:pt idx="26">
                  <c:v>740</c:v>
                </c:pt>
                <c:pt idx="27">
                  <c:v>818</c:v>
                </c:pt>
                <c:pt idx="28">
                  <c:v>425</c:v>
                </c:pt>
                <c:pt idx="29">
                  <c:v>785</c:v>
                </c:pt>
                <c:pt idx="30">
                  <c:v>591</c:v>
                </c:pt>
                <c:pt idx="31">
                  <c:v>667</c:v>
                </c:pt>
                <c:pt idx="32">
                  <c:v>730</c:v>
                </c:pt>
                <c:pt idx="33">
                  <c:v>875</c:v>
                </c:pt>
                <c:pt idx="34">
                  <c:v>806</c:v>
                </c:pt>
                <c:pt idx="35">
                  <c:v>1234</c:v>
                </c:pt>
                <c:pt idx="36">
                  <c:v>982</c:v>
                </c:pt>
                <c:pt idx="37">
                  <c:v>989</c:v>
                </c:pt>
                <c:pt idx="38">
                  <c:v>824</c:v>
                </c:pt>
                <c:pt idx="39">
                  <c:v>1300</c:v>
                </c:pt>
                <c:pt idx="40">
                  <c:v>1247</c:v>
                </c:pt>
                <c:pt idx="41">
                  <c:v>773</c:v>
                </c:pt>
                <c:pt idx="42">
                  <c:v>1001</c:v>
                </c:pt>
                <c:pt idx="43">
                  <c:v>216</c:v>
                </c:pt>
              </c:numCache>
            </c:numRef>
          </c:val>
          <c:smooth val="0"/>
          <c:extLst>
            <c:ext xmlns:c16="http://schemas.microsoft.com/office/drawing/2014/chart" uri="{C3380CC4-5D6E-409C-BE32-E72D297353CC}">
              <c16:uniqueId val="{00000000-94FB-4896-B9D4-80DBD172A1FB}"/>
            </c:ext>
          </c:extLst>
        </c:ser>
        <c:dLbls>
          <c:showLegendKey val="0"/>
          <c:showVal val="0"/>
          <c:showCatName val="0"/>
          <c:showSerName val="0"/>
          <c:showPercent val="0"/>
          <c:showBubbleSize val="0"/>
        </c:dLbls>
        <c:smooth val="0"/>
        <c:axId val="603990432"/>
        <c:axId val="603989472"/>
      </c:lineChart>
      <c:catAx>
        <c:axId val="60399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989472"/>
        <c:crosses val="autoZero"/>
        <c:auto val="1"/>
        <c:lblAlgn val="ctr"/>
        <c:lblOffset val="100"/>
        <c:noMultiLvlLbl val="0"/>
      </c:catAx>
      <c:valAx>
        <c:axId val="6039894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99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85726</xdr:colOff>
      <xdr:row>16</xdr:row>
      <xdr:rowOff>114300</xdr:rowOff>
    </xdr:from>
    <xdr:to>
      <xdr:col>17</xdr:col>
      <xdr:colOff>418547</xdr:colOff>
      <xdr:row>18</xdr:row>
      <xdr:rowOff>66675</xdr:rowOff>
    </xdr:to>
    <xdr:pic>
      <xdr:nvPicPr>
        <xdr:cNvPr id="2" name="Picture 1">
          <a:extLst>
            <a:ext uri="{FF2B5EF4-FFF2-40B4-BE49-F238E27FC236}">
              <a16:creationId xmlns:a16="http://schemas.microsoft.com/office/drawing/2014/main" id="{7E6701AD-F80E-AFDD-197B-71827F483B75}"/>
            </a:ext>
          </a:extLst>
        </xdr:cNvPr>
        <xdr:cNvPicPr>
          <a:picLocks noChangeAspect="1"/>
        </xdr:cNvPicPr>
      </xdr:nvPicPr>
      <xdr:blipFill>
        <a:blip xmlns:r="http://schemas.openxmlformats.org/officeDocument/2006/relationships" r:embed="rId1"/>
        <a:stretch>
          <a:fillRect/>
        </a:stretch>
      </xdr:blipFill>
      <xdr:spPr>
        <a:xfrm>
          <a:off x="6534151" y="3295650"/>
          <a:ext cx="4361896" cy="352425"/>
        </a:xfrm>
        <a:prstGeom prst="rect">
          <a:avLst/>
        </a:prstGeom>
      </xdr:spPr>
    </xdr:pic>
    <xdr:clientData/>
  </xdr:twoCellAnchor>
  <xdr:twoCellAnchor editAs="oneCell">
    <xdr:from>
      <xdr:col>12</xdr:col>
      <xdr:colOff>1</xdr:colOff>
      <xdr:row>28</xdr:row>
      <xdr:rowOff>0</xdr:rowOff>
    </xdr:from>
    <xdr:to>
      <xdr:col>16</xdr:col>
      <xdr:colOff>457201</xdr:colOff>
      <xdr:row>29</xdr:row>
      <xdr:rowOff>45726</xdr:rowOff>
    </xdr:to>
    <xdr:pic>
      <xdr:nvPicPr>
        <xdr:cNvPr id="3" name="Picture 2">
          <a:extLst>
            <a:ext uri="{FF2B5EF4-FFF2-40B4-BE49-F238E27FC236}">
              <a16:creationId xmlns:a16="http://schemas.microsoft.com/office/drawing/2014/main" id="{61580158-C671-2571-E700-72B03C5B438E}"/>
            </a:ext>
          </a:extLst>
        </xdr:cNvPr>
        <xdr:cNvPicPr>
          <a:picLocks noChangeAspect="1"/>
        </xdr:cNvPicPr>
      </xdr:nvPicPr>
      <xdr:blipFill>
        <a:blip xmlns:r="http://schemas.openxmlformats.org/officeDocument/2006/relationships" r:embed="rId2"/>
        <a:stretch>
          <a:fillRect/>
        </a:stretch>
      </xdr:blipFill>
      <xdr:spPr>
        <a:xfrm>
          <a:off x="6448426" y="5581650"/>
          <a:ext cx="3886200" cy="245751"/>
        </a:xfrm>
        <a:prstGeom prst="rect">
          <a:avLst/>
        </a:prstGeom>
      </xdr:spPr>
    </xdr:pic>
    <xdr:clientData/>
  </xdr:twoCellAnchor>
  <xdr:twoCellAnchor editAs="oneCell">
    <xdr:from>
      <xdr:col>12</xdr:col>
      <xdr:colOff>28576</xdr:colOff>
      <xdr:row>36</xdr:row>
      <xdr:rowOff>95250</xdr:rowOff>
    </xdr:from>
    <xdr:to>
      <xdr:col>17</xdr:col>
      <xdr:colOff>368299</xdr:colOff>
      <xdr:row>38</xdr:row>
      <xdr:rowOff>0</xdr:rowOff>
    </xdr:to>
    <xdr:pic>
      <xdr:nvPicPr>
        <xdr:cNvPr id="4" name="Picture 3">
          <a:extLst>
            <a:ext uri="{FF2B5EF4-FFF2-40B4-BE49-F238E27FC236}">
              <a16:creationId xmlns:a16="http://schemas.microsoft.com/office/drawing/2014/main" id="{3B971E20-57E1-8BBC-8B2C-2DF52A1B32EB}"/>
            </a:ext>
          </a:extLst>
        </xdr:cNvPr>
        <xdr:cNvPicPr>
          <a:picLocks noChangeAspect="1"/>
        </xdr:cNvPicPr>
      </xdr:nvPicPr>
      <xdr:blipFill>
        <a:blip xmlns:r="http://schemas.openxmlformats.org/officeDocument/2006/relationships" r:embed="rId3"/>
        <a:stretch>
          <a:fillRect/>
        </a:stretch>
      </xdr:blipFill>
      <xdr:spPr>
        <a:xfrm>
          <a:off x="6477001" y="7277100"/>
          <a:ext cx="4368798" cy="304800"/>
        </a:xfrm>
        <a:prstGeom prst="rect">
          <a:avLst/>
        </a:prstGeom>
      </xdr:spPr>
    </xdr:pic>
    <xdr:clientData/>
  </xdr:twoCellAnchor>
  <xdr:twoCellAnchor editAs="oneCell">
    <xdr:from>
      <xdr:col>12</xdr:col>
      <xdr:colOff>47626</xdr:colOff>
      <xdr:row>29</xdr:row>
      <xdr:rowOff>82417</xdr:rowOff>
    </xdr:from>
    <xdr:to>
      <xdr:col>18</xdr:col>
      <xdr:colOff>447676</xdr:colOff>
      <xdr:row>31</xdr:row>
      <xdr:rowOff>11266</xdr:rowOff>
    </xdr:to>
    <xdr:pic>
      <xdr:nvPicPr>
        <xdr:cNvPr id="5" name="Picture 4">
          <a:extLst>
            <a:ext uri="{FF2B5EF4-FFF2-40B4-BE49-F238E27FC236}">
              <a16:creationId xmlns:a16="http://schemas.microsoft.com/office/drawing/2014/main" id="{973CA7B1-EF4B-C360-E342-51BC9F7F3627}"/>
            </a:ext>
          </a:extLst>
        </xdr:cNvPr>
        <xdr:cNvPicPr>
          <a:picLocks noChangeAspect="1"/>
        </xdr:cNvPicPr>
      </xdr:nvPicPr>
      <xdr:blipFill>
        <a:blip xmlns:r="http://schemas.openxmlformats.org/officeDocument/2006/relationships" r:embed="rId4"/>
        <a:stretch>
          <a:fillRect/>
        </a:stretch>
      </xdr:blipFill>
      <xdr:spPr>
        <a:xfrm>
          <a:off x="11372851" y="5864092"/>
          <a:ext cx="5181600" cy="3288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571500</xdr:colOff>
      <xdr:row>3</xdr:row>
      <xdr:rowOff>23812</xdr:rowOff>
    </xdr:from>
    <xdr:to>
      <xdr:col>8</xdr:col>
      <xdr:colOff>38100</xdr:colOff>
      <xdr:row>16</xdr:row>
      <xdr:rowOff>95250</xdr:rowOff>
    </xdr:to>
    <xdr:graphicFrame macro="">
      <xdr:nvGraphicFramePr>
        <xdr:cNvPr id="2" name="Chart 2">
          <a:extLst>
            <a:ext uri="{FF2B5EF4-FFF2-40B4-BE49-F238E27FC236}">
              <a16:creationId xmlns:a16="http://schemas.microsoft.com/office/drawing/2014/main" id="{873C71F2-1CAF-5F9A-5C8F-0AE93EF3E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481011</xdr:colOff>
      <xdr:row>18</xdr:row>
      <xdr:rowOff>42862</xdr:rowOff>
    </xdr:from>
    <xdr:to>
      <xdr:col>9</xdr:col>
      <xdr:colOff>409574</xdr:colOff>
      <xdr:row>31</xdr:row>
      <xdr:rowOff>171450</xdr:rowOff>
    </xdr:to>
    <xdr:graphicFrame macro="">
      <xdr:nvGraphicFramePr>
        <xdr:cNvPr id="3" name="Chart 3">
          <a:extLst>
            <a:ext uri="{FF2B5EF4-FFF2-40B4-BE49-F238E27FC236}">
              <a16:creationId xmlns:a16="http://schemas.microsoft.com/office/drawing/2014/main" id="{AAC7F46B-385F-018A-2D44-B02FF9B7A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523875</xdr:colOff>
      <xdr:row>35</xdr:row>
      <xdr:rowOff>109537</xdr:rowOff>
    </xdr:from>
    <xdr:to>
      <xdr:col>14</xdr:col>
      <xdr:colOff>466725</xdr:colOff>
      <xdr:row>49</xdr:row>
      <xdr:rowOff>185737</xdr:rowOff>
    </xdr:to>
    <xdr:graphicFrame macro="">
      <xdr:nvGraphicFramePr>
        <xdr:cNvPr id="4" name="Chart 4">
          <a:extLst>
            <a:ext uri="{FF2B5EF4-FFF2-40B4-BE49-F238E27FC236}">
              <a16:creationId xmlns:a16="http://schemas.microsoft.com/office/drawing/2014/main" id="{5A6471ED-B480-2055-1982-F902682EF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314325</xdr:colOff>
      <xdr:row>3</xdr:row>
      <xdr:rowOff>28575</xdr:rowOff>
    </xdr:from>
    <xdr:to>
      <xdr:col>11</xdr:col>
      <xdr:colOff>314325</xdr:colOff>
      <xdr:row>11</xdr:row>
      <xdr:rowOff>19050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4A66A1F4-D993-4B34-8B1D-F387D3B44D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191125" y="600075"/>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600075</xdr:colOff>
      <xdr:row>19</xdr:row>
      <xdr:rowOff>161925</xdr:rowOff>
    </xdr:from>
    <xdr:to>
      <xdr:col>12</xdr:col>
      <xdr:colOff>600075</xdr:colOff>
      <xdr:row>30</xdr:row>
      <xdr:rowOff>152400</xdr:rowOff>
    </xdr:to>
    <mc:AlternateContent xmlns:mc="http://schemas.openxmlformats.org/markup-compatibility/2006" xmlns:a14="http://schemas.microsoft.com/office/drawing/2010/main">
      <mc:Choice Requires="a14">
        <xdr:graphicFrame macro="">
          <xdr:nvGraphicFramePr>
            <xdr:cNvPr id="6" name="Salesperson 1">
              <a:extLst>
                <a:ext uri="{FF2B5EF4-FFF2-40B4-BE49-F238E27FC236}">
                  <a16:creationId xmlns:a16="http://schemas.microsoft.com/office/drawing/2014/main" id="{20805321-141E-4B83-A605-D09EF71DC50E}"/>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6086475" y="3781425"/>
              <a:ext cx="1828800"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35</xdr:row>
      <xdr:rowOff>0</xdr:rowOff>
    </xdr:from>
    <xdr:to>
      <xdr:col>18</xdr:col>
      <xdr:colOff>0</xdr:colOff>
      <xdr:row>46</xdr:row>
      <xdr:rowOff>38100</xdr:rowOff>
    </xdr:to>
    <mc:AlternateContent xmlns:mc="http://schemas.openxmlformats.org/markup-compatibility/2006" xmlns:a14="http://schemas.microsoft.com/office/drawing/2010/main">
      <mc:Choice Requires="a14">
        <xdr:graphicFrame macro="">
          <xdr:nvGraphicFramePr>
            <xdr:cNvPr id="10" name="Years (Date) 1">
              <a:extLst>
                <a:ext uri="{FF2B5EF4-FFF2-40B4-BE49-F238E27FC236}">
                  <a16:creationId xmlns:a16="http://schemas.microsoft.com/office/drawing/2014/main" id="{5B3EC75D-D4BA-4D93-86DA-48B201561862}"/>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9144000" y="6667500"/>
              <a:ext cx="182880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257175</xdr:colOff>
      <xdr:row>34</xdr:row>
      <xdr:rowOff>180975</xdr:rowOff>
    </xdr:from>
    <xdr:to>
      <xdr:col>21</xdr:col>
      <xdr:colOff>257175</xdr:colOff>
      <xdr:row>48</xdr:row>
      <xdr:rowOff>180975</xdr:rowOff>
    </xdr:to>
    <mc:AlternateContent xmlns:mc="http://schemas.openxmlformats.org/markup-compatibility/2006" xmlns:a14="http://schemas.microsoft.com/office/drawing/2010/main">
      <mc:Choice Requires="a14">
        <xdr:graphicFrame macro="">
          <xdr:nvGraphicFramePr>
            <xdr:cNvPr id="11" name="Months (Date) 1">
              <a:extLst>
                <a:ext uri="{FF2B5EF4-FFF2-40B4-BE49-F238E27FC236}">
                  <a16:creationId xmlns:a16="http://schemas.microsoft.com/office/drawing/2014/main" id="{3A68DE2C-66EE-4A70-9137-C86565E7D75C}"/>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1229975" y="6657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323850</xdr:colOff>
      <xdr:row>0</xdr:row>
      <xdr:rowOff>114300</xdr:rowOff>
    </xdr:from>
    <xdr:to>
      <xdr:col>6</xdr:col>
      <xdr:colOff>38100</xdr:colOff>
      <xdr:row>8</xdr:row>
      <xdr:rowOff>152400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312D1E4-170D-2F55-AE61-7DB08B6781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52750" y="114300"/>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9</xdr:row>
      <xdr:rowOff>95250</xdr:rowOff>
    </xdr:from>
    <xdr:to>
      <xdr:col>6</xdr:col>
      <xdr:colOff>57150</xdr:colOff>
      <xdr:row>20</xdr:row>
      <xdr:rowOff>180975</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1C667BAC-4265-84F7-5455-2043E744027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971800" y="1809750"/>
              <a:ext cx="1828800" cy="218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66675</xdr:colOff>
      <xdr:row>25</xdr:row>
      <xdr:rowOff>19050</xdr:rowOff>
    </xdr:from>
    <xdr:to>
      <xdr:col>12</xdr:col>
      <xdr:colOff>66675</xdr:colOff>
      <xdr:row>39</xdr:row>
      <xdr:rowOff>19050</xdr:rowOff>
    </xdr:to>
    <mc:AlternateContent xmlns:mc="http://schemas.openxmlformats.org/markup-compatibility/2006" xmlns:a14="http://schemas.microsoft.com/office/drawing/2010/main">
      <mc:Choice Requires="a14">
        <xdr:graphicFrame macro="">
          <xdr:nvGraphicFramePr>
            <xdr:cNvPr id="12" name="Date">
              <a:extLst>
                <a:ext uri="{FF2B5EF4-FFF2-40B4-BE49-F238E27FC236}">
                  <a16:creationId xmlns:a16="http://schemas.microsoft.com/office/drawing/2014/main" id="{D46232A6-5A84-D88B-61B2-47E00565F93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991350" y="4781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24</xdr:row>
      <xdr:rowOff>152400</xdr:rowOff>
    </xdr:from>
    <xdr:to>
      <xdr:col>5</xdr:col>
      <xdr:colOff>609600</xdr:colOff>
      <xdr:row>38</xdr:row>
      <xdr:rowOff>152400</xdr:rowOff>
    </xdr:to>
    <mc:AlternateContent xmlns:mc="http://schemas.openxmlformats.org/markup-compatibility/2006" xmlns:a14="http://schemas.microsoft.com/office/drawing/2010/main">
      <mc:Choice Requires="a14">
        <xdr:graphicFrame macro="">
          <xdr:nvGraphicFramePr>
            <xdr:cNvPr id="13" name="Months (Date)">
              <a:extLst>
                <a:ext uri="{FF2B5EF4-FFF2-40B4-BE49-F238E27FC236}">
                  <a16:creationId xmlns:a16="http://schemas.microsoft.com/office/drawing/2014/main" id="{32D708CF-2826-49E2-6E42-45C06CFD929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819400" y="47244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123825</xdr:colOff>
      <xdr:row>24</xdr:row>
      <xdr:rowOff>133350</xdr:rowOff>
    </xdr:from>
    <xdr:to>
      <xdr:col>8</xdr:col>
      <xdr:colOff>542925</xdr:colOff>
      <xdr:row>38</xdr:row>
      <xdr:rowOff>133350</xdr:rowOff>
    </xdr:to>
    <mc:AlternateContent xmlns:mc="http://schemas.openxmlformats.org/markup-compatibility/2006" xmlns:a14="http://schemas.microsoft.com/office/drawing/2010/main">
      <mc:Choice Requires="a14">
        <xdr:graphicFrame macro="">
          <xdr:nvGraphicFramePr>
            <xdr:cNvPr id="14" name="Years (Date)">
              <a:extLst>
                <a:ext uri="{FF2B5EF4-FFF2-40B4-BE49-F238E27FC236}">
                  <a16:creationId xmlns:a16="http://schemas.microsoft.com/office/drawing/2014/main" id="{CABB6AFD-E885-E944-DABB-E5CBE6E3F5ED}"/>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867275" y="47053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BrayanCastillo/Documents/Database%208%20-%20Copy.xlsx" TargetMode="External"/><Relationship Id="rId2" Type="http://schemas.openxmlformats.org/officeDocument/2006/relationships/externalLinkPath" Target="file:///C:\Users\BrayanCastillo\Documents\Database%208%20-%20Copy.xlsx" TargetMode="External"/><Relationship Id="rId1" Type="http://schemas.openxmlformats.org/officeDocument/2006/relationships/externalLinkPath" Target="/Users/BrayanCastillo/Documents/Database%208%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WOs"/>
      <sheetName val="AdminLists"/>
      <sheetName val="CountA"/>
      <sheetName val="IF and NestedIF"/>
      <sheetName val="CountIF"/>
      <sheetName val="CountIFS"/>
      <sheetName val="CountIFS (2)"/>
      <sheetName val="Database 8 - Cop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Sebastian Morales" id="{CBA83894-16D3-4AAE-916C-C87FD0D3C5CB}" userId="S::smorales@rlx.us::dff53185-ba6f-4720-b5e3-dbd409c1226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bastian Morales" refreshedDate="45979.705228587962" createdVersion="8" refreshedVersion="8" minRefreshableVersion="3" recordCount="24" xr:uid="{A2F1C826-6F5B-4ADB-A2C1-CBDF78188115}">
  <cacheSource type="worksheet">
    <worksheetSource name="Table1"/>
  </cacheSource>
  <cacheFields count="6">
    <cacheField name="Last Name" numFmtId="0">
      <sharedItems/>
    </cacheField>
    <cacheField name="First Name" numFmtId="0">
      <sharedItems/>
    </cacheField>
    <cacheField name="Job Position" numFmtId="0">
      <sharedItems/>
    </cacheField>
    <cacheField name="Marital Status" numFmtId="0">
      <sharedItems/>
    </cacheField>
    <cacheField name="Age" numFmtId="0">
      <sharedItems containsSemiMixedTypes="0" containsString="0" containsNumber="1" containsInteger="1" minValue="27" maxValue="55"/>
    </cacheField>
    <cacheField name="Assigned Hous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bastian Morales" refreshedDate="46028.518524768515" createdVersion="8" refreshedVersion="8" minRefreshableVersion="3" recordCount="452" xr:uid="{BFE5952B-E3A3-4CF6-BBF2-1C0DABBE1513}">
  <cacheSource type="worksheet">
    <worksheetSource name="TableSales[[Date]:[Sales]]"/>
  </cacheSource>
  <cacheFields count="10">
    <cacheField name="Date" numFmtId="14">
      <sharedItems containsSemiMixedTypes="0" containsNonDate="0" containsDate="1" containsString="0" minDate="2016-01-03T00:00:00" maxDate="2019-08-04T00:00:00" count="452">
        <d v="2016-01-03T00:00:00"/>
        <d v="2016-01-13T00:00:00"/>
        <d v="2016-01-21T00:00:00"/>
        <d v="2016-01-30T00:00:00"/>
        <d v="2016-02-07T00:00:00"/>
        <d v="2016-02-13T00:00:00"/>
        <d v="2016-02-21T00:00:00"/>
        <d v="2016-03-01T00:00:00"/>
        <d v="2016-03-13T00:00:00"/>
        <d v="2016-03-23T00:00:00"/>
        <d v="2016-03-28T00:00:00"/>
        <d v="2016-04-03T00:00:00"/>
        <d v="2016-04-12T00:00:00"/>
        <d v="2016-04-16T00:00:00"/>
        <d v="2016-04-23T00:00:00"/>
        <d v="2016-04-30T00:00:00"/>
        <d v="2016-05-09T00:00:00"/>
        <d v="2016-05-16T00:00:00"/>
        <d v="2016-05-25T00:00:00"/>
        <d v="2016-05-30T00:00:00"/>
        <d v="2016-06-04T00:00:00"/>
        <d v="2016-06-13T00:00:00"/>
        <d v="2016-06-21T00:00:00"/>
        <d v="2016-06-26T00:00:00"/>
        <d v="2016-07-02T00:00:00"/>
        <d v="2016-07-08T00:00:00"/>
        <d v="2016-07-12T00:00:00"/>
        <d v="2016-07-19T00:00:00"/>
        <d v="2016-07-26T00:00:00"/>
        <d v="2016-07-31T00:00:00"/>
        <d v="2016-08-07T00:00:00"/>
        <d v="2016-08-13T00:00:00"/>
        <d v="2016-08-20T00:00:00"/>
        <d v="2016-08-25T00:00:00"/>
        <d v="2016-09-01T00:00:00"/>
        <d v="2016-09-07T00:00:00"/>
        <d v="2016-09-10T00:00:00"/>
        <d v="2016-09-13T00:00:00"/>
        <d v="2016-09-19T00:00:00"/>
        <d v="2016-09-26T00:00:00"/>
        <d v="2016-09-30T00:00:00"/>
        <d v="2016-10-06T00:00:00"/>
        <d v="2016-10-09T00:00:00"/>
        <d v="2016-10-14T00:00:00"/>
        <d v="2016-10-19T00:00:00"/>
        <d v="2016-10-23T00:00:00"/>
        <d v="2016-10-26T00:00:00"/>
        <d v="2016-10-30T00:00:00"/>
        <d v="2016-11-05T00:00:00"/>
        <d v="2016-11-10T00:00:00"/>
        <d v="2016-11-15T00:00:00"/>
        <d v="2016-11-20T00:00:00"/>
        <d v="2016-11-23T00:00:00"/>
        <d v="2016-11-28T00:00:00"/>
        <d v="2016-11-30T00:00:00"/>
        <d v="2016-12-04T00:00:00"/>
        <d v="2016-12-07T00:00:00"/>
        <d v="2016-12-09T00:00:00"/>
        <d v="2016-12-14T00:00:00"/>
        <d v="2016-12-16T00:00:00"/>
        <d v="2016-12-20T00:00:00"/>
        <d v="2016-12-23T00:00:00"/>
        <d v="2016-12-25T00:00:00"/>
        <d v="2016-12-28T00:00:00"/>
        <d v="2016-12-31T00:00:00"/>
        <d v="2017-01-05T00:00:00"/>
        <d v="2017-01-09T00:00:00"/>
        <d v="2017-01-11T00:00:00"/>
        <d v="2017-01-16T00:00:00"/>
        <d v="2017-01-19T00:00:00"/>
        <d v="2017-01-24T00:00:00"/>
        <d v="2017-01-28T00:00:00"/>
        <d v="2017-01-31T00:00:00"/>
        <d v="2017-02-03T00:00:00"/>
        <d v="2017-02-08T00:00:00"/>
        <d v="2017-02-10T00:00:00"/>
        <d v="2017-02-14T00:00:00"/>
        <d v="2017-02-16T00:00:00"/>
        <d v="2017-02-18T00:00:00"/>
        <d v="2017-02-23T00:00:00"/>
        <d v="2017-02-27T00:00:00"/>
        <d v="2017-03-02T00:00:00"/>
        <d v="2017-03-05T00:00:00"/>
        <d v="2017-03-08T00:00:00"/>
        <d v="2017-03-13T00:00:00"/>
        <d v="2017-03-16T00:00:00"/>
        <d v="2017-03-21T00:00:00"/>
        <d v="2017-03-23T00:00:00"/>
        <d v="2017-03-28T00:00:00"/>
        <d v="2017-03-31T00:00:00"/>
        <d v="2017-04-03T00:00:00"/>
        <d v="2017-04-06T00:00:00"/>
        <d v="2017-04-08T00:00:00"/>
        <d v="2017-04-10T00:00:00"/>
        <d v="2017-04-12T00:00:00"/>
        <d v="2017-04-15T00:00:00"/>
        <d v="2017-04-18T00:00:00"/>
        <d v="2017-04-20T00:00:00"/>
        <d v="2017-04-23T00:00:00"/>
        <d v="2017-04-26T00:00:00"/>
        <d v="2017-04-29T00:00:00"/>
        <d v="2017-05-02T00:00:00"/>
        <d v="2017-05-06T00:00:00"/>
        <d v="2017-05-10T00:00:00"/>
        <d v="2017-05-14T00:00:00"/>
        <d v="2017-05-17T00:00:00"/>
        <d v="2017-05-19T00:00:00"/>
        <d v="2017-05-22T00:00:00"/>
        <d v="2017-05-26T00:00:00"/>
        <d v="2017-05-28T00:00:00"/>
        <d v="2017-05-30T00:00:00"/>
        <d v="2017-06-03T00:00:00"/>
        <d v="2017-06-06T00:00:00"/>
        <d v="2017-06-08T00:00:00"/>
        <d v="2017-06-10T00:00:00"/>
        <d v="2017-06-14T00:00:00"/>
        <d v="2017-06-17T00:00:00"/>
        <d v="2017-06-18T00:00:00"/>
        <d v="2017-06-21T00:00:00"/>
        <d v="2017-06-22T00:00:00"/>
        <d v="2017-06-25T00:00:00"/>
        <d v="2017-06-29T00:00:00"/>
        <d v="2017-07-03T00:00:00"/>
        <d v="2017-07-07T00:00:00"/>
        <d v="2017-07-11T00:00:00"/>
        <d v="2017-07-15T00:00:00"/>
        <d v="2017-07-18T00:00:00"/>
        <d v="2017-07-20T00:00:00"/>
        <d v="2017-07-24T00:00:00"/>
        <d v="2017-07-28T00:00:00"/>
        <d v="2017-07-30T00:00:00"/>
        <d v="2017-08-03T00:00:00"/>
        <d v="2017-08-05T00:00:00"/>
        <d v="2017-08-09T00:00:00"/>
        <d v="2017-08-11T00:00:00"/>
        <d v="2017-08-14T00:00:00"/>
        <d v="2017-08-17T00:00:00"/>
        <d v="2017-08-20T00:00:00"/>
        <d v="2017-08-24T00:00:00"/>
        <d v="2017-08-27T00:00:00"/>
        <d v="2017-08-29T00:00:00"/>
        <d v="2017-08-31T00:00:00"/>
        <d v="2017-09-02T00:00:00"/>
        <d v="2017-09-06T00:00:00"/>
        <d v="2017-09-10T00:00:00"/>
        <d v="2017-09-12T00:00:00"/>
        <d v="2017-09-16T00:00:00"/>
        <d v="2017-09-18T00:00:00"/>
        <d v="2017-09-22T00:00:00"/>
        <d v="2017-09-25T00:00:00"/>
        <d v="2017-09-29T00:00:00"/>
        <d v="2017-10-02T00:00:00"/>
        <d v="2017-10-04T00:00:00"/>
        <d v="2017-10-06T00:00:00"/>
        <d v="2017-10-10T00:00:00"/>
        <d v="2017-10-12T00:00:00"/>
        <d v="2017-10-14T00:00:00"/>
        <d v="2017-10-17T00:00:00"/>
        <d v="2017-10-18T00:00:00"/>
        <d v="2017-10-22T00:00:00"/>
        <d v="2017-10-26T00:00:00"/>
        <d v="2017-10-27T00:00:00"/>
        <d v="2017-10-28T00:00:00"/>
        <d v="2017-10-30T00:00:00"/>
        <d v="2017-10-31T00:00:00"/>
        <d v="2017-11-03T00:00:00"/>
        <d v="2017-11-07T00:00:00"/>
        <d v="2017-11-11T00:00:00"/>
        <d v="2017-11-13T00:00:00"/>
        <d v="2017-11-17T00:00:00"/>
        <d v="2017-11-19T00:00:00"/>
        <d v="2017-11-23T00:00:00"/>
        <d v="2017-11-27T00:00:00"/>
        <d v="2017-11-28T00:00:00"/>
        <d v="2017-11-30T00:00:00"/>
        <d v="2017-12-01T00:00:00"/>
        <d v="2017-12-03T00:00:00"/>
        <d v="2017-12-05T00:00:00"/>
        <d v="2017-12-06T00:00:00"/>
        <d v="2017-12-08T00:00:00"/>
        <d v="2017-12-10T00:00:00"/>
        <d v="2017-12-12T00:00:00"/>
        <d v="2017-12-13T00:00:00"/>
        <d v="2017-12-14T00:00:00"/>
        <d v="2017-12-16T00:00:00"/>
        <d v="2017-12-17T00:00:00"/>
        <d v="2017-12-19T00:00:00"/>
        <d v="2017-12-23T00:00:00"/>
        <d v="2017-12-27T00:00:00"/>
        <d v="2017-12-30T00:00:00"/>
        <d v="2018-01-02T00:00:00"/>
        <d v="2018-01-05T00:00:00"/>
        <d v="2018-01-09T00:00:00"/>
        <d v="2018-01-13T00:00:00"/>
        <d v="2018-01-17T00:00:00"/>
        <d v="2018-01-19T00:00:00"/>
        <d v="2018-01-20T00:00:00"/>
        <d v="2018-01-21T00:00:00"/>
        <d v="2018-01-23T00:00:00"/>
        <d v="2018-01-24T00:00:00"/>
        <d v="2018-01-25T00:00:00"/>
        <d v="2018-01-28T00:00:00"/>
        <d v="2018-01-31T00:00:00"/>
        <d v="2018-02-03T00:00:00"/>
        <d v="2018-02-06T00:00:00"/>
        <d v="2018-02-07T00:00:00"/>
        <d v="2018-02-09T00:00:00"/>
        <d v="2018-02-11T00:00:00"/>
        <d v="2018-02-14T00:00:00"/>
        <d v="2018-02-16T00:00:00"/>
        <d v="2018-02-19T00:00:00"/>
        <d v="2018-02-23T00:00:00"/>
        <d v="2018-02-26T00:00:00"/>
        <d v="2018-03-02T00:00:00"/>
        <d v="2018-03-05T00:00:00"/>
        <d v="2018-03-06T00:00:00"/>
        <d v="2018-03-09T00:00:00"/>
        <d v="2018-03-11T00:00:00"/>
        <d v="2018-03-15T00:00:00"/>
        <d v="2018-03-16T00:00:00"/>
        <d v="2018-03-17T00:00:00"/>
        <d v="2018-03-18T00:00:00"/>
        <d v="2018-03-19T00:00:00"/>
        <d v="2018-03-23T00:00:00"/>
        <d v="2018-03-25T00:00:00"/>
        <d v="2018-03-27T00:00:00"/>
        <d v="2018-03-30T00:00:00"/>
        <d v="2018-04-01T00:00:00"/>
        <d v="2018-04-04T00:00:00"/>
        <d v="2018-04-06T00:00:00"/>
        <d v="2018-04-07T00:00:00"/>
        <d v="2018-04-11T00:00:00"/>
        <d v="2018-04-15T00:00:00"/>
        <d v="2018-04-16T00:00:00"/>
        <d v="2018-04-20T00:00:00"/>
        <d v="2018-04-21T00:00:00"/>
        <d v="2018-04-22T00:00:00"/>
        <d v="2018-04-26T00:00:00"/>
        <d v="2018-04-30T00:00:00"/>
        <d v="2018-05-04T00:00:00"/>
        <d v="2018-05-05T00:00:00"/>
        <d v="2018-05-09T00:00:00"/>
        <d v="2018-05-12T00:00:00"/>
        <d v="2018-05-13T00:00:00"/>
        <d v="2018-05-16T00:00:00"/>
        <d v="2018-05-20T00:00:00"/>
        <d v="2018-05-21T00:00:00"/>
        <d v="2018-05-25T00:00:00"/>
        <d v="2018-05-27T00:00:00"/>
        <d v="2018-05-30T00:00:00"/>
        <d v="2018-06-02T00:00:00"/>
        <d v="2018-06-03T00:00:00"/>
        <d v="2018-06-07T00:00:00"/>
        <d v="2018-06-10T00:00:00"/>
        <d v="2018-06-13T00:00:00"/>
        <d v="2018-06-15T00:00:00"/>
        <d v="2018-06-16T00:00:00"/>
        <d v="2018-06-18T00:00:00"/>
        <d v="2018-06-21T00:00:00"/>
        <d v="2018-06-23T00:00:00"/>
        <d v="2018-06-25T00:00:00"/>
        <d v="2018-06-26T00:00:00"/>
        <d v="2018-06-27T00:00:00"/>
        <d v="2018-06-30T00:00:00"/>
        <d v="2018-07-02T00:00:00"/>
        <d v="2018-07-06T00:00:00"/>
        <d v="2018-07-09T00:00:00"/>
        <d v="2018-07-12T00:00:00"/>
        <d v="2018-07-14T00:00:00"/>
        <d v="2018-07-17T00:00:00"/>
        <d v="2018-07-20T00:00:00"/>
        <d v="2018-07-23T00:00:00"/>
        <d v="2018-07-24T00:00:00"/>
        <d v="2018-07-27T00:00:00"/>
        <d v="2018-07-31T00:00:00"/>
        <d v="2018-08-03T00:00:00"/>
        <d v="2018-08-05T00:00:00"/>
        <d v="2018-08-08T00:00:00"/>
        <d v="2018-08-10T00:00:00"/>
        <d v="2018-08-13T00:00:00"/>
        <d v="2018-08-15T00:00:00"/>
        <d v="2018-08-18T00:00:00"/>
        <d v="2018-08-20T00:00:00"/>
        <d v="2018-08-21T00:00:00"/>
        <d v="2018-08-24T00:00:00"/>
        <d v="2018-08-27T00:00:00"/>
        <d v="2018-08-30T00:00:00"/>
        <d v="2018-09-02T00:00:00"/>
        <d v="2018-09-06T00:00:00"/>
        <d v="2018-09-07T00:00:00"/>
        <d v="2018-09-10T00:00:00"/>
        <d v="2018-09-13T00:00:00"/>
        <d v="2018-09-14T00:00:00"/>
        <d v="2018-09-17T00:00:00"/>
        <d v="2018-09-21T00:00:00"/>
        <d v="2018-09-25T00:00:00"/>
        <d v="2018-09-29T00:00:00"/>
        <d v="2018-10-03T00:00:00"/>
        <d v="2018-10-05T00:00:00"/>
        <d v="2018-10-07T00:00:00"/>
        <d v="2018-10-11T00:00:00"/>
        <d v="2018-10-13T00:00:00"/>
        <d v="2018-10-16T00:00:00"/>
        <d v="2018-10-19T00:00:00"/>
        <d v="2018-10-21T00:00:00"/>
        <d v="2018-10-22T00:00:00"/>
        <d v="2018-10-24T00:00:00"/>
        <d v="2018-10-25T00:00:00"/>
        <d v="2018-10-26T00:00:00"/>
        <d v="2018-10-28T00:00:00"/>
        <d v="2018-10-30T00:00:00"/>
        <d v="2018-11-01T00:00:00"/>
        <d v="2018-11-03T00:00:00"/>
        <d v="2018-11-06T00:00:00"/>
        <d v="2018-11-07T00:00:00"/>
        <d v="2018-11-10T00:00:00"/>
        <d v="2018-11-11T00:00:00"/>
        <d v="2018-11-13T00:00:00"/>
        <d v="2018-11-15T00:00:00"/>
        <d v="2018-11-18T00:00:00"/>
        <d v="2018-11-21T00:00:00"/>
        <d v="2018-11-23T00:00:00"/>
        <d v="2018-11-25T00:00:00"/>
        <d v="2018-11-28T00:00:00"/>
        <d v="2018-12-01T00:00:00"/>
        <d v="2018-12-02T00:00:00"/>
        <d v="2018-12-03T00:00:00"/>
        <d v="2018-12-05T00:00:00"/>
        <d v="2018-12-06T00:00:00"/>
        <d v="2018-12-08T00:00:00"/>
        <d v="2018-12-10T00:00:00"/>
        <d v="2018-12-11T00:00:00"/>
        <d v="2018-12-12T00:00:00"/>
        <d v="2018-12-14T00:00:00"/>
        <d v="2018-12-16T00:00:00"/>
        <d v="2018-12-18T00:00:00"/>
        <d v="2018-12-19T00:00:00"/>
        <d v="2018-12-20T00:00:00"/>
        <d v="2018-12-21T00:00:00"/>
        <d v="2018-12-24T00:00:00"/>
        <d v="2018-12-26T00:00:00"/>
        <d v="2018-12-29T00:00:00"/>
        <d v="2018-12-30T00:00:00"/>
        <d v="2018-12-31T00:00:00"/>
        <d v="2019-01-01T00:00:00"/>
        <d v="2019-01-04T00:00:00"/>
        <d v="2019-01-06T00:00:00"/>
        <d v="2019-01-09T00:00:00"/>
        <d v="2019-01-10T00:00:00"/>
        <d v="2019-01-13T00:00:00"/>
        <d v="2019-01-16T00:00:00"/>
        <d v="2019-01-17T00:00:00"/>
        <d v="2019-01-19T00:00:00"/>
        <d v="2019-01-20T00:00:00"/>
        <d v="2019-01-22T00:00:00"/>
        <d v="2019-01-23T00:00:00"/>
        <d v="2019-01-24T00:00:00"/>
        <d v="2019-01-26T00:00:00"/>
        <d v="2019-01-29T00:00:00"/>
        <d v="2019-02-01T00:00:00"/>
        <d v="2019-02-03T00:00:00"/>
        <d v="2019-02-04T00:00:00"/>
        <d v="2019-02-07T00:00:00"/>
        <d v="2019-02-10T00:00:00"/>
        <d v="2019-02-11T00:00:00"/>
        <d v="2019-02-14T00:00:00"/>
        <d v="2019-02-16T00:00:00"/>
        <d v="2019-02-18T00:00:00"/>
        <d v="2019-02-21T00:00:00"/>
        <d v="2019-02-24T00:00:00"/>
        <d v="2019-02-25T00:00:00"/>
        <d v="2019-02-28T00:00:00"/>
        <d v="2019-03-01T00:00:00"/>
        <d v="2019-03-04T00:00:00"/>
        <d v="2019-03-07T00:00:00"/>
        <d v="2019-03-10T00:00:00"/>
        <d v="2019-03-12T00:00:00"/>
        <d v="2019-03-13T00:00:00"/>
        <d v="2019-03-16T00:00:00"/>
        <d v="2019-03-18T00:00:00"/>
        <d v="2019-03-19T00:00:00"/>
        <d v="2019-03-21T00:00:00"/>
        <d v="2019-03-23T00:00:00"/>
        <d v="2019-03-25T00:00:00"/>
        <d v="2019-03-28T00:00:00"/>
        <d v="2019-03-31T00:00:00"/>
        <d v="2019-04-02T00:00:00"/>
        <d v="2019-04-04T00:00:00"/>
        <d v="2019-04-07T00:00:00"/>
        <d v="2019-04-08T00:00:00"/>
        <d v="2019-04-11T00:00:00"/>
        <d v="2019-04-13T00:00:00"/>
        <d v="2019-04-15T00:00:00"/>
        <d v="2019-04-16T00:00:00"/>
        <d v="2019-04-17T00:00:00"/>
        <d v="2019-04-19T00:00:00"/>
        <d v="2019-04-20T00:00:00"/>
        <d v="2019-04-22T00:00:00"/>
        <d v="2019-04-23T00:00:00"/>
        <d v="2019-04-24T00:00:00"/>
        <d v="2019-04-26T00:00:00"/>
        <d v="2019-04-28T00:00:00"/>
        <d v="2019-04-29T00:00:00"/>
        <d v="2019-05-02T00:00:00"/>
        <d v="2019-05-05T00:00:00"/>
        <d v="2019-05-06T00:00:00"/>
        <d v="2019-05-07T00:00:00"/>
        <d v="2019-05-09T00:00:00"/>
        <d v="2019-05-10T00:00:00"/>
        <d v="2019-05-11T00:00:00"/>
        <d v="2019-05-12T00:00:00"/>
        <d v="2019-05-13T00:00:00"/>
        <d v="2019-05-16T00:00:00"/>
        <d v="2019-05-17T00:00:00"/>
        <d v="2019-05-19T00:00:00"/>
        <d v="2019-05-21T00:00:00"/>
        <d v="2019-05-22T00:00:00"/>
        <d v="2019-05-23T00:00:00"/>
        <d v="2019-05-25T00:00:00"/>
        <d v="2019-05-28T00:00:00"/>
        <d v="2019-05-29T00:00:00"/>
        <d v="2019-05-30T00:00:00"/>
        <d v="2019-06-02T00:00:00"/>
        <d v="2019-06-05T00:00:00"/>
        <d v="2019-06-06T00:00:00"/>
        <d v="2019-06-09T00:00:00"/>
        <d v="2019-06-12T00:00:00"/>
        <d v="2019-06-14T00:00:00"/>
        <d v="2019-06-17T00:00:00"/>
        <d v="2019-06-19T00:00:00"/>
        <d v="2019-06-22T00:00:00"/>
        <d v="2019-06-25T00:00:00"/>
        <d v="2019-06-27T00:00:00"/>
        <d v="2019-06-28T00:00:00"/>
        <d v="2019-06-29T00:00:00"/>
        <d v="2019-07-02T00:00:00"/>
        <d v="2019-07-03T00:00:00"/>
        <d v="2019-07-05T00:00:00"/>
        <d v="2019-07-07T00:00:00"/>
        <d v="2019-07-09T00:00:00"/>
        <d v="2019-07-11T00:00:00"/>
        <d v="2019-07-12T00:00:00"/>
        <d v="2019-07-15T00:00:00"/>
        <d v="2019-07-17T00:00:00"/>
        <d v="2019-07-19T00:00:00"/>
        <d v="2019-07-22T00:00:00"/>
        <d v="2019-07-23T00:00:00"/>
        <d v="2019-07-24T00:00:00"/>
        <d v="2019-07-27T00:00:00"/>
        <d v="2019-07-30T00:00:00"/>
        <d v="2019-08-01T00:00:00"/>
        <d v="2019-08-03T00:00:00"/>
      </sharedItems>
      <fieldGroup par="9"/>
    </cacheField>
    <cacheField name="Salesperson" numFmtId="49">
      <sharedItems count="6">
        <s v="MONIQUE"/>
        <s v="PETE"/>
        <s v="LAUREN"/>
        <s v="HARRY"/>
        <s v="MARIO"/>
        <s v="EDGAR"/>
      </sharedItems>
    </cacheField>
    <cacheField name="Region" numFmtId="49">
      <sharedItems count="4">
        <s v="West"/>
        <s v="South"/>
        <s v="North"/>
        <s v="East"/>
      </sharedItems>
    </cacheField>
    <cacheField name="Color" numFmtId="49">
      <sharedItems count="4">
        <s v="Red"/>
        <s v="Blue"/>
        <s v="Green"/>
        <s v="Silver"/>
      </sharedItems>
    </cacheField>
    <cacheField name="Modality" numFmtId="49">
      <sharedItems/>
    </cacheField>
    <cacheField name="Units" numFmtId="2">
      <sharedItems containsSemiMixedTypes="0" containsString="0" containsNumber="1" containsInteger="1" minValue="1" maxValue="8"/>
    </cacheField>
    <cacheField name="Sales" numFmtId="164">
      <sharedItems containsSemiMixedTypes="0" containsString="0" containsNumber="1" containsInteger="1" minValue="11" maxValue="120"/>
    </cacheField>
    <cacheField name="Months (Date)" numFmtId="0" databaseField="0">
      <fieldGroup base="0">
        <rangePr groupBy="months" startDate="2016-01-03T00:00:00" endDate="2019-08-04T00:00:00"/>
        <groupItems count="14">
          <s v="&lt;1/3/2016"/>
          <s v="Jan"/>
          <s v="Feb"/>
          <s v="Mar"/>
          <s v="Apr"/>
          <s v="May"/>
          <s v="Jun"/>
          <s v="Jul"/>
          <s v="Aug"/>
          <s v="Sep"/>
          <s v="Oct"/>
          <s v="Nov"/>
          <s v="Dec"/>
          <s v="&gt;8/4/2019"/>
        </groupItems>
      </fieldGroup>
    </cacheField>
    <cacheField name="Quarters (Date)" numFmtId="0" databaseField="0">
      <fieldGroup base="0">
        <rangePr groupBy="quarters" startDate="2016-01-03T00:00:00" endDate="2019-08-04T00:00:00"/>
        <groupItems count="6">
          <s v="&lt;1/3/2016"/>
          <s v="Qtr1"/>
          <s v="Qtr2"/>
          <s v="Qtr3"/>
          <s v="Qtr4"/>
          <s v="&gt;8/4/2019"/>
        </groupItems>
      </fieldGroup>
    </cacheField>
    <cacheField name="Years (Date)" numFmtId="0" databaseField="0">
      <fieldGroup base="0">
        <rangePr groupBy="years" startDate="2016-01-03T00:00:00" endDate="2019-08-04T00:00:00"/>
        <groupItems count="6">
          <s v="&lt;1/3/2016"/>
          <s v="2016"/>
          <s v="2017"/>
          <s v="2018"/>
          <s v="2019"/>
          <s v="&gt;8/4/2019"/>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bastian Morales" refreshedDate="46028.646541666669" createdVersion="8" refreshedVersion="8" minRefreshableVersion="3" recordCount="452" xr:uid="{692AD432-320D-45A4-85C1-F9AAEB406EBA}">
  <cacheSource type="worksheet">
    <worksheetSource name="TableSales"/>
  </cacheSource>
  <cacheFields count="12">
    <cacheField name="Date" numFmtId="14">
      <sharedItems containsSemiMixedTypes="0" containsNonDate="0" containsDate="1" containsString="0" minDate="2016-01-03T00:00:00" maxDate="2019-08-04T00:00:00" count="452">
        <d v="2016-01-03T00:00:00"/>
        <d v="2016-01-13T00:00:00"/>
        <d v="2016-01-21T00:00:00"/>
        <d v="2016-01-30T00:00:00"/>
        <d v="2016-02-07T00:00:00"/>
        <d v="2016-02-13T00:00:00"/>
        <d v="2016-02-21T00:00:00"/>
        <d v="2016-03-01T00:00:00"/>
        <d v="2016-03-13T00:00:00"/>
        <d v="2016-03-23T00:00:00"/>
        <d v="2016-03-28T00:00:00"/>
        <d v="2016-04-03T00:00:00"/>
        <d v="2016-04-12T00:00:00"/>
        <d v="2016-04-16T00:00:00"/>
        <d v="2016-04-23T00:00:00"/>
        <d v="2016-04-30T00:00:00"/>
        <d v="2016-05-09T00:00:00"/>
        <d v="2016-05-16T00:00:00"/>
        <d v="2016-05-25T00:00:00"/>
        <d v="2016-05-30T00:00:00"/>
        <d v="2016-06-04T00:00:00"/>
        <d v="2016-06-13T00:00:00"/>
        <d v="2016-06-21T00:00:00"/>
        <d v="2016-06-26T00:00:00"/>
        <d v="2016-07-02T00:00:00"/>
        <d v="2016-07-08T00:00:00"/>
        <d v="2016-07-12T00:00:00"/>
        <d v="2016-07-19T00:00:00"/>
        <d v="2016-07-26T00:00:00"/>
        <d v="2016-07-31T00:00:00"/>
        <d v="2016-08-07T00:00:00"/>
        <d v="2016-08-13T00:00:00"/>
        <d v="2016-08-20T00:00:00"/>
        <d v="2016-08-25T00:00:00"/>
        <d v="2016-09-01T00:00:00"/>
        <d v="2016-09-07T00:00:00"/>
        <d v="2016-09-10T00:00:00"/>
        <d v="2016-09-13T00:00:00"/>
        <d v="2016-09-19T00:00:00"/>
        <d v="2016-09-26T00:00:00"/>
        <d v="2016-09-30T00:00:00"/>
        <d v="2016-10-06T00:00:00"/>
        <d v="2016-10-09T00:00:00"/>
        <d v="2016-10-14T00:00:00"/>
        <d v="2016-10-19T00:00:00"/>
        <d v="2016-10-23T00:00:00"/>
        <d v="2016-10-26T00:00:00"/>
        <d v="2016-10-30T00:00:00"/>
        <d v="2016-11-05T00:00:00"/>
        <d v="2016-11-10T00:00:00"/>
        <d v="2016-11-15T00:00:00"/>
        <d v="2016-11-20T00:00:00"/>
        <d v="2016-11-23T00:00:00"/>
        <d v="2016-11-28T00:00:00"/>
        <d v="2016-11-30T00:00:00"/>
        <d v="2016-12-04T00:00:00"/>
        <d v="2016-12-07T00:00:00"/>
        <d v="2016-12-09T00:00:00"/>
        <d v="2016-12-14T00:00:00"/>
        <d v="2016-12-16T00:00:00"/>
        <d v="2016-12-20T00:00:00"/>
        <d v="2016-12-23T00:00:00"/>
        <d v="2016-12-25T00:00:00"/>
        <d v="2016-12-28T00:00:00"/>
        <d v="2016-12-31T00:00:00"/>
        <d v="2017-01-05T00:00:00"/>
        <d v="2017-01-09T00:00:00"/>
        <d v="2017-01-11T00:00:00"/>
        <d v="2017-01-16T00:00:00"/>
        <d v="2017-01-19T00:00:00"/>
        <d v="2017-01-24T00:00:00"/>
        <d v="2017-01-28T00:00:00"/>
        <d v="2017-01-31T00:00:00"/>
        <d v="2017-02-03T00:00:00"/>
        <d v="2017-02-08T00:00:00"/>
        <d v="2017-02-10T00:00:00"/>
        <d v="2017-02-14T00:00:00"/>
        <d v="2017-02-16T00:00:00"/>
        <d v="2017-02-18T00:00:00"/>
        <d v="2017-02-23T00:00:00"/>
        <d v="2017-02-27T00:00:00"/>
        <d v="2017-03-02T00:00:00"/>
        <d v="2017-03-05T00:00:00"/>
        <d v="2017-03-08T00:00:00"/>
        <d v="2017-03-13T00:00:00"/>
        <d v="2017-03-16T00:00:00"/>
        <d v="2017-03-21T00:00:00"/>
        <d v="2017-03-23T00:00:00"/>
        <d v="2017-03-28T00:00:00"/>
        <d v="2017-03-31T00:00:00"/>
        <d v="2017-04-03T00:00:00"/>
        <d v="2017-04-06T00:00:00"/>
        <d v="2017-04-08T00:00:00"/>
        <d v="2017-04-10T00:00:00"/>
        <d v="2017-04-12T00:00:00"/>
        <d v="2017-04-15T00:00:00"/>
        <d v="2017-04-18T00:00:00"/>
        <d v="2017-04-20T00:00:00"/>
        <d v="2017-04-23T00:00:00"/>
        <d v="2017-04-26T00:00:00"/>
        <d v="2017-04-29T00:00:00"/>
        <d v="2017-05-02T00:00:00"/>
        <d v="2017-05-06T00:00:00"/>
        <d v="2017-05-10T00:00:00"/>
        <d v="2017-05-14T00:00:00"/>
        <d v="2017-05-17T00:00:00"/>
        <d v="2017-05-19T00:00:00"/>
        <d v="2017-05-22T00:00:00"/>
        <d v="2017-05-26T00:00:00"/>
        <d v="2017-05-28T00:00:00"/>
        <d v="2017-05-30T00:00:00"/>
        <d v="2017-06-03T00:00:00"/>
        <d v="2017-06-06T00:00:00"/>
        <d v="2017-06-08T00:00:00"/>
        <d v="2017-06-10T00:00:00"/>
        <d v="2017-06-14T00:00:00"/>
        <d v="2017-06-17T00:00:00"/>
        <d v="2017-06-18T00:00:00"/>
        <d v="2017-06-21T00:00:00"/>
        <d v="2017-06-22T00:00:00"/>
        <d v="2017-06-25T00:00:00"/>
        <d v="2017-06-29T00:00:00"/>
        <d v="2017-07-03T00:00:00"/>
        <d v="2017-07-07T00:00:00"/>
        <d v="2017-07-11T00:00:00"/>
        <d v="2017-07-15T00:00:00"/>
        <d v="2017-07-18T00:00:00"/>
        <d v="2017-07-20T00:00:00"/>
        <d v="2017-07-24T00:00:00"/>
        <d v="2017-07-28T00:00:00"/>
        <d v="2017-07-30T00:00:00"/>
        <d v="2017-08-03T00:00:00"/>
        <d v="2017-08-05T00:00:00"/>
        <d v="2017-08-09T00:00:00"/>
        <d v="2017-08-11T00:00:00"/>
        <d v="2017-08-14T00:00:00"/>
        <d v="2017-08-17T00:00:00"/>
        <d v="2017-08-20T00:00:00"/>
        <d v="2017-08-24T00:00:00"/>
        <d v="2017-08-27T00:00:00"/>
        <d v="2017-08-29T00:00:00"/>
        <d v="2017-08-31T00:00:00"/>
        <d v="2017-09-02T00:00:00"/>
        <d v="2017-09-06T00:00:00"/>
        <d v="2017-09-10T00:00:00"/>
        <d v="2017-09-12T00:00:00"/>
        <d v="2017-09-16T00:00:00"/>
        <d v="2017-09-18T00:00:00"/>
        <d v="2017-09-22T00:00:00"/>
        <d v="2017-09-25T00:00:00"/>
        <d v="2017-09-29T00:00:00"/>
        <d v="2017-10-02T00:00:00"/>
        <d v="2017-10-04T00:00:00"/>
        <d v="2017-10-06T00:00:00"/>
        <d v="2017-10-10T00:00:00"/>
        <d v="2017-10-12T00:00:00"/>
        <d v="2017-10-14T00:00:00"/>
        <d v="2017-10-17T00:00:00"/>
        <d v="2017-10-18T00:00:00"/>
        <d v="2017-10-22T00:00:00"/>
        <d v="2017-10-26T00:00:00"/>
        <d v="2017-10-27T00:00:00"/>
        <d v="2017-10-28T00:00:00"/>
        <d v="2017-10-30T00:00:00"/>
        <d v="2017-10-31T00:00:00"/>
        <d v="2017-11-03T00:00:00"/>
        <d v="2017-11-07T00:00:00"/>
        <d v="2017-11-11T00:00:00"/>
        <d v="2017-11-13T00:00:00"/>
        <d v="2017-11-17T00:00:00"/>
        <d v="2017-11-19T00:00:00"/>
        <d v="2017-11-23T00:00:00"/>
        <d v="2017-11-27T00:00:00"/>
        <d v="2017-11-28T00:00:00"/>
        <d v="2017-11-30T00:00:00"/>
        <d v="2017-12-01T00:00:00"/>
        <d v="2017-12-03T00:00:00"/>
        <d v="2017-12-05T00:00:00"/>
        <d v="2017-12-06T00:00:00"/>
        <d v="2017-12-08T00:00:00"/>
        <d v="2017-12-10T00:00:00"/>
        <d v="2017-12-12T00:00:00"/>
        <d v="2017-12-13T00:00:00"/>
        <d v="2017-12-14T00:00:00"/>
        <d v="2017-12-16T00:00:00"/>
        <d v="2017-12-17T00:00:00"/>
        <d v="2017-12-19T00:00:00"/>
        <d v="2017-12-23T00:00:00"/>
        <d v="2017-12-27T00:00:00"/>
        <d v="2017-12-30T00:00:00"/>
        <d v="2018-01-02T00:00:00"/>
        <d v="2018-01-05T00:00:00"/>
        <d v="2018-01-09T00:00:00"/>
        <d v="2018-01-13T00:00:00"/>
        <d v="2018-01-17T00:00:00"/>
        <d v="2018-01-19T00:00:00"/>
        <d v="2018-01-20T00:00:00"/>
        <d v="2018-01-21T00:00:00"/>
        <d v="2018-01-23T00:00:00"/>
        <d v="2018-01-24T00:00:00"/>
        <d v="2018-01-25T00:00:00"/>
        <d v="2018-01-28T00:00:00"/>
        <d v="2018-01-31T00:00:00"/>
        <d v="2018-02-03T00:00:00"/>
        <d v="2018-02-06T00:00:00"/>
        <d v="2018-02-07T00:00:00"/>
        <d v="2018-02-09T00:00:00"/>
        <d v="2018-02-11T00:00:00"/>
        <d v="2018-02-14T00:00:00"/>
        <d v="2018-02-16T00:00:00"/>
        <d v="2018-02-19T00:00:00"/>
        <d v="2018-02-23T00:00:00"/>
        <d v="2018-02-26T00:00:00"/>
        <d v="2018-03-02T00:00:00"/>
        <d v="2018-03-05T00:00:00"/>
        <d v="2018-03-06T00:00:00"/>
        <d v="2018-03-09T00:00:00"/>
        <d v="2018-03-11T00:00:00"/>
        <d v="2018-03-15T00:00:00"/>
        <d v="2018-03-16T00:00:00"/>
        <d v="2018-03-17T00:00:00"/>
        <d v="2018-03-18T00:00:00"/>
        <d v="2018-03-19T00:00:00"/>
        <d v="2018-03-23T00:00:00"/>
        <d v="2018-03-25T00:00:00"/>
        <d v="2018-03-27T00:00:00"/>
        <d v="2018-03-30T00:00:00"/>
        <d v="2018-04-01T00:00:00"/>
        <d v="2018-04-04T00:00:00"/>
        <d v="2018-04-06T00:00:00"/>
        <d v="2018-04-07T00:00:00"/>
        <d v="2018-04-11T00:00:00"/>
        <d v="2018-04-15T00:00:00"/>
        <d v="2018-04-16T00:00:00"/>
        <d v="2018-04-20T00:00:00"/>
        <d v="2018-04-21T00:00:00"/>
        <d v="2018-04-22T00:00:00"/>
        <d v="2018-04-26T00:00:00"/>
        <d v="2018-04-30T00:00:00"/>
        <d v="2018-05-04T00:00:00"/>
        <d v="2018-05-05T00:00:00"/>
        <d v="2018-05-09T00:00:00"/>
        <d v="2018-05-12T00:00:00"/>
        <d v="2018-05-13T00:00:00"/>
        <d v="2018-05-16T00:00:00"/>
        <d v="2018-05-20T00:00:00"/>
        <d v="2018-05-21T00:00:00"/>
        <d v="2018-05-25T00:00:00"/>
        <d v="2018-05-27T00:00:00"/>
        <d v="2018-05-30T00:00:00"/>
        <d v="2018-06-02T00:00:00"/>
        <d v="2018-06-03T00:00:00"/>
        <d v="2018-06-07T00:00:00"/>
        <d v="2018-06-10T00:00:00"/>
        <d v="2018-06-13T00:00:00"/>
        <d v="2018-06-15T00:00:00"/>
        <d v="2018-06-16T00:00:00"/>
        <d v="2018-06-18T00:00:00"/>
        <d v="2018-06-21T00:00:00"/>
        <d v="2018-06-23T00:00:00"/>
        <d v="2018-06-25T00:00:00"/>
        <d v="2018-06-26T00:00:00"/>
        <d v="2018-06-27T00:00:00"/>
        <d v="2018-06-30T00:00:00"/>
        <d v="2018-07-02T00:00:00"/>
        <d v="2018-07-06T00:00:00"/>
        <d v="2018-07-09T00:00:00"/>
        <d v="2018-07-12T00:00:00"/>
        <d v="2018-07-14T00:00:00"/>
        <d v="2018-07-17T00:00:00"/>
        <d v="2018-07-20T00:00:00"/>
        <d v="2018-07-23T00:00:00"/>
        <d v="2018-07-24T00:00:00"/>
        <d v="2018-07-27T00:00:00"/>
        <d v="2018-07-31T00:00:00"/>
        <d v="2018-08-03T00:00:00"/>
        <d v="2018-08-05T00:00:00"/>
        <d v="2018-08-08T00:00:00"/>
        <d v="2018-08-10T00:00:00"/>
        <d v="2018-08-13T00:00:00"/>
        <d v="2018-08-15T00:00:00"/>
        <d v="2018-08-18T00:00:00"/>
        <d v="2018-08-20T00:00:00"/>
        <d v="2018-08-21T00:00:00"/>
        <d v="2018-08-24T00:00:00"/>
        <d v="2018-08-27T00:00:00"/>
        <d v="2018-08-30T00:00:00"/>
        <d v="2018-09-02T00:00:00"/>
        <d v="2018-09-06T00:00:00"/>
        <d v="2018-09-07T00:00:00"/>
        <d v="2018-09-10T00:00:00"/>
        <d v="2018-09-13T00:00:00"/>
        <d v="2018-09-14T00:00:00"/>
        <d v="2018-09-17T00:00:00"/>
        <d v="2018-09-21T00:00:00"/>
        <d v="2018-09-25T00:00:00"/>
        <d v="2018-09-29T00:00:00"/>
        <d v="2018-10-03T00:00:00"/>
        <d v="2018-10-05T00:00:00"/>
        <d v="2018-10-07T00:00:00"/>
        <d v="2018-10-11T00:00:00"/>
        <d v="2018-10-13T00:00:00"/>
        <d v="2018-10-16T00:00:00"/>
        <d v="2018-10-19T00:00:00"/>
        <d v="2018-10-21T00:00:00"/>
        <d v="2018-10-22T00:00:00"/>
        <d v="2018-10-24T00:00:00"/>
        <d v="2018-10-25T00:00:00"/>
        <d v="2018-10-26T00:00:00"/>
        <d v="2018-10-28T00:00:00"/>
        <d v="2018-10-30T00:00:00"/>
        <d v="2018-11-01T00:00:00"/>
        <d v="2018-11-03T00:00:00"/>
        <d v="2018-11-06T00:00:00"/>
        <d v="2018-11-07T00:00:00"/>
        <d v="2018-11-10T00:00:00"/>
        <d v="2018-11-11T00:00:00"/>
        <d v="2018-11-13T00:00:00"/>
        <d v="2018-11-15T00:00:00"/>
        <d v="2018-11-18T00:00:00"/>
        <d v="2018-11-21T00:00:00"/>
        <d v="2018-11-23T00:00:00"/>
        <d v="2018-11-25T00:00:00"/>
        <d v="2018-11-28T00:00:00"/>
        <d v="2018-12-01T00:00:00"/>
        <d v="2018-12-02T00:00:00"/>
        <d v="2018-12-03T00:00:00"/>
        <d v="2018-12-05T00:00:00"/>
        <d v="2018-12-06T00:00:00"/>
        <d v="2018-12-08T00:00:00"/>
        <d v="2018-12-10T00:00:00"/>
        <d v="2018-12-11T00:00:00"/>
        <d v="2018-12-12T00:00:00"/>
        <d v="2018-12-14T00:00:00"/>
        <d v="2018-12-16T00:00:00"/>
        <d v="2018-12-18T00:00:00"/>
        <d v="2018-12-19T00:00:00"/>
        <d v="2018-12-20T00:00:00"/>
        <d v="2018-12-21T00:00:00"/>
        <d v="2018-12-24T00:00:00"/>
        <d v="2018-12-26T00:00:00"/>
        <d v="2018-12-29T00:00:00"/>
        <d v="2018-12-30T00:00:00"/>
        <d v="2018-12-31T00:00:00"/>
        <d v="2019-01-01T00:00:00"/>
        <d v="2019-01-04T00:00:00"/>
        <d v="2019-01-06T00:00:00"/>
        <d v="2019-01-09T00:00:00"/>
        <d v="2019-01-10T00:00:00"/>
        <d v="2019-01-13T00:00:00"/>
        <d v="2019-01-16T00:00:00"/>
        <d v="2019-01-17T00:00:00"/>
        <d v="2019-01-19T00:00:00"/>
        <d v="2019-01-20T00:00:00"/>
        <d v="2019-01-22T00:00:00"/>
        <d v="2019-01-23T00:00:00"/>
        <d v="2019-01-24T00:00:00"/>
        <d v="2019-01-26T00:00:00"/>
        <d v="2019-01-29T00:00:00"/>
        <d v="2019-02-01T00:00:00"/>
        <d v="2019-02-03T00:00:00"/>
        <d v="2019-02-04T00:00:00"/>
        <d v="2019-02-07T00:00:00"/>
        <d v="2019-02-10T00:00:00"/>
        <d v="2019-02-11T00:00:00"/>
        <d v="2019-02-14T00:00:00"/>
        <d v="2019-02-16T00:00:00"/>
        <d v="2019-02-18T00:00:00"/>
        <d v="2019-02-21T00:00:00"/>
        <d v="2019-02-24T00:00:00"/>
        <d v="2019-02-25T00:00:00"/>
        <d v="2019-02-28T00:00:00"/>
        <d v="2019-03-01T00:00:00"/>
        <d v="2019-03-04T00:00:00"/>
        <d v="2019-03-07T00:00:00"/>
        <d v="2019-03-10T00:00:00"/>
        <d v="2019-03-12T00:00:00"/>
        <d v="2019-03-13T00:00:00"/>
        <d v="2019-03-16T00:00:00"/>
        <d v="2019-03-18T00:00:00"/>
        <d v="2019-03-19T00:00:00"/>
        <d v="2019-03-21T00:00:00"/>
        <d v="2019-03-23T00:00:00"/>
        <d v="2019-03-25T00:00:00"/>
        <d v="2019-03-28T00:00:00"/>
        <d v="2019-03-31T00:00:00"/>
        <d v="2019-04-02T00:00:00"/>
        <d v="2019-04-04T00:00:00"/>
        <d v="2019-04-07T00:00:00"/>
        <d v="2019-04-08T00:00:00"/>
        <d v="2019-04-11T00:00:00"/>
        <d v="2019-04-13T00:00:00"/>
        <d v="2019-04-15T00:00:00"/>
        <d v="2019-04-16T00:00:00"/>
        <d v="2019-04-17T00:00:00"/>
        <d v="2019-04-19T00:00:00"/>
        <d v="2019-04-20T00:00:00"/>
        <d v="2019-04-22T00:00:00"/>
        <d v="2019-04-23T00:00:00"/>
        <d v="2019-04-24T00:00:00"/>
        <d v="2019-04-26T00:00:00"/>
        <d v="2019-04-28T00:00:00"/>
        <d v="2019-04-29T00:00:00"/>
        <d v="2019-05-02T00:00:00"/>
        <d v="2019-05-05T00:00:00"/>
        <d v="2019-05-06T00:00:00"/>
        <d v="2019-05-07T00:00:00"/>
        <d v="2019-05-09T00:00:00"/>
        <d v="2019-05-10T00:00:00"/>
        <d v="2019-05-11T00:00:00"/>
        <d v="2019-05-12T00:00:00"/>
        <d v="2019-05-13T00:00:00"/>
        <d v="2019-05-16T00:00:00"/>
        <d v="2019-05-17T00:00:00"/>
        <d v="2019-05-19T00:00:00"/>
        <d v="2019-05-21T00:00:00"/>
        <d v="2019-05-22T00:00:00"/>
        <d v="2019-05-23T00:00:00"/>
        <d v="2019-05-25T00:00:00"/>
        <d v="2019-05-28T00:00:00"/>
        <d v="2019-05-29T00:00:00"/>
        <d v="2019-05-30T00:00:00"/>
        <d v="2019-06-02T00:00:00"/>
        <d v="2019-06-05T00:00:00"/>
        <d v="2019-06-06T00:00:00"/>
        <d v="2019-06-09T00:00:00"/>
        <d v="2019-06-12T00:00:00"/>
        <d v="2019-06-14T00:00:00"/>
        <d v="2019-06-17T00:00:00"/>
        <d v="2019-06-19T00:00:00"/>
        <d v="2019-06-22T00:00:00"/>
        <d v="2019-06-25T00:00:00"/>
        <d v="2019-06-27T00:00:00"/>
        <d v="2019-06-28T00:00:00"/>
        <d v="2019-06-29T00:00:00"/>
        <d v="2019-07-02T00:00:00"/>
        <d v="2019-07-03T00:00:00"/>
        <d v="2019-07-05T00:00:00"/>
        <d v="2019-07-07T00:00:00"/>
        <d v="2019-07-09T00:00:00"/>
        <d v="2019-07-11T00:00:00"/>
        <d v="2019-07-12T00:00:00"/>
        <d v="2019-07-15T00:00:00"/>
        <d v="2019-07-17T00:00:00"/>
        <d v="2019-07-19T00:00:00"/>
        <d v="2019-07-22T00:00:00"/>
        <d v="2019-07-23T00:00:00"/>
        <d v="2019-07-24T00:00:00"/>
        <d v="2019-07-27T00:00:00"/>
        <d v="2019-07-30T00:00:00"/>
        <d v="2019-08-01T00:00:00"/>
        <d v="2019-08-03T00:00:00"/>
      </sharedItems>
      <fieldGroup par="11"/>
    </cacheField>
    <cacheField name="Salesperson" numFmtId="49">
      <sharedItems count="6">
        <s v="MONIQUE"/>
        <s v="PETE"/>
        <s v="LAUREN"/>
        <s v="HARRY"/>
        <s v="MARIO"/>
        <s v="EDGAR"/>
      </sharedItems>
    </cacheField>
    <cacheField name="Region" numFmtId="49">
      <sharedItems count="4">
        <s v="West"/>
        <s v="South"/>
        <s v="North"/>
        <s v="East"/>
      </sharedItems>
    </cacheField>
    <cacheField name="Color" numFmtId="49">
      <sharedItems/>
    </cacheField>
    <cacheField name="Modality" numFmtId="49">
      <sharedItems/>
    </cacheField>
    <cacheField name="Units" numFmtId="2">
      <sharedItems containsSemiMixedTypes="0" containsString="0" containsNumber="1" containsInteger="1" minValue="1" maxValue="8"/>
    </cacheField>
    <cacheField name="Sales" numFmtId="164">
      <sharedItems containsSemiMixedTypes="0" containsString="0" containsNumber="1" containsInteger="1" minValue="11" maxValue="120" count="38">
        <n v="11"/>
        <n v="96"/>
        <n v="26"/>
        <n v="84"/>
        <n v="104"/>
        <n v="22"/>
        <n v="60"/>
        <n v="13"/>
        <n v="88"/>
        <n v="66"/>
        <n v="65"/>
        <n v="55"/>
        <n v="12"/>
        <n v="48"/>
        <n v="33"/>
        <n v="24"/>
        <n v="72"/>
        <n v="91"/>
        <n v="44"/>
        <n v="78"/>
        <n v="36"/>
        <n v="52"/>
        <n v="39"/>
        <n v="77"/>
        <n v="98"/>
        <n v="42"/>
        <n v="70"/>
        <n v="56"/>
        <n v="14"/>
        <n v="112"/>
        <n v="45"/>
        <n v="30"/>
        <n v="105"/>
        <n v="120"/>
        <n v="28"/>
        <n v="75"/>
        <n v="15"/>
        <n v="90"/>
      </sharedItems>
    </cacheField>
    <cacheField name="Column1" numFmtId="164">
      <sharedItems containsNonDate="0" containsString="0" containsBlank="1" count="1">
        <m/>
      </sharedItems>
    </cacheField>
    <cacheField name="Commission" numFmtId="164">
      <sharedItems containsMixedTypes="1" containsNumber="1" minValue="3.5" maxValue="6"/>
    </cacheField>
    <cacheField name="New email" numFmtId="0">
      <sharedItems/>
    </cacheField>
    <cacheField name="Months (Date)" numFmtId="0" databaseField="0">
      <fieldGroup base="0">
        <rangePr groupBy="months" startDate="2016-01-03T00:00:00" endDate="2019-08-04T00:00:00"/>
        <groupItems count="14">
          <s v="&lt;1/3/2016"/>
          <s v="Jan"/>
          <s v="Feb"/>
          <s v="Mar"/>
          <s v="Apr"/>
          <s v="May"/>
          <s v="Jun"/>
          <s v="Jul"/>
          <s v="Aug"/>
          <s v="Sep"/>
          <s v="Oct"/>
          <s v="Nov"/>
          <s v="Dec"/>
          <s v="&gt;8/4/2019"/>
        </groupItems>
      </fieldGroup>
    </cacheField>
    <cacheField name="Years (Date)" numFmtId="0" databaseField="0">
      <fieldGroup base="0">
        <rangePr groupBy="years" startDate="2016-01-03T00:00:00" endDate="2019-08-04T00:00:00"/>
        <groupItems count="6">
          <s v="&lt;1/3/2016"/>
          <s v="2016"/>
          <s v="2017"/>
          <s v="2018"/>
          <s v="2019"/>
          <s v="&gt;8/4/2019"/>
        </groupItems>
      </fieldGroup>
    </cacheField>
  </cacheFields>
  <extLst>
    <ext xmlns:x14="http://schemas.microsoft.com/office/spreadsheetml/2009/9/main" uri="{725AE2AE-9491-48be-B2B4-4EB974FC3084}">
      <x14:pivotCacheDefinition pivotCacheId="1310482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Delfox"/>
    <s v="Martin"/>
    <s v="District Attorney"/>
    <s v="Married"/>
    <n v="41"/>
    <s v="House 101"/>
  </r>
  <r>
    <s v="Michaels"/>
    <s v="Dean"/>
    <s v="Pediatrician"/>
    <s v="Single"/>
    <n v="32"/>
    <s v="House 217"/>
  </r>
  <r>
    <s v="Harrison"/>
    <s v="Emily"/>
    <s v="Software Engineer"/>
    <s v="Divorced"/>
    <n v="35"/>
    <s v="House 128"/>
  </r>
  <r>
    <s v="Lopez"/>
    <s v="Carlos"/>
    <s v="Marketing Manager"/>
    <s v="Married"/>
    <n v="45"/>
    <s v="House 225"/>
  </r>
  <r>
    <s v="Parker"/>
    <s v="James"/>
    <s v="CEO"/>
    <s v="Married"/>
    <n v="50"/>
    <s v="House 110"/>
  </r>
  <r>
    <s v="Adams"/>
    <s v="Sarah"/>
    <s v="Architect"/>
    <s v="Single"/>
    <n v="38"/>
    <s v="House 235"/>
  </r>
  <r>
    <s v="Cooper"/>
    <s v="David"/>
    <s v="Teacher"/>
    <s v="Married"/>
    <n v="33"/>
    <s v="House 118"/>
  </r>
  <r>
    <s v="Bennett"/>
    <s v="Emma"/>
    <s v="Graphic Designer"/>
    <s v="Single"/>
    <n v="28"/>
    <s v="House 212"/>
  </r>
  <r>
    <s v="Watson"/>
    <s v="Michael"/>
    <s v="Engineer"/>
    <s v="Married"/>
    <n v="42"/>
    <s v="House 130"/>
  </r>
  <r>
    <s v="Nelson"/>
    <s v="Samantha"/>
    <s v="HR Manager"/>
    <s v="Divorced"/>
    <n v="45"/>
    <s v="House 217"/>
  </r>
  <r>
    <s v="Carter"/>
    <s v="Olivia"/>
    <s v="Physician"/>
    <s v="Single"/>
    <n v="36"/>
    <s v="House 126"/>
  </r>
  <r>
    <s v="Peterson"/>
    <s v="Andrew"/>
    <s v="Accountant"/>
    <s v="Married"/>
    <n v="39"/>
    <s v="House 238"/>
  </r>
  <r>
    <s v="Ramirez"/>
    <s v="Maria"/>
    <s v="Lawyer"/>
    <s v="Single"/>
    <n v="31"/>
    <s v="House 123"/>
  </r>
  <r>
    <s v="Murphy"/>
    <s v="John"/>
    <s v="Journalist"/>
    <s v="Married"/>
    <n v="48"/>
    <s v="House 132"/>
  </r>
  <r>
    <s v="Rivera"/>
    <s v="Sophia"/>
    <s v="Entrepreneur"/>
    <s v="Single"/>
    <n v="29"/>
    <s v="House 216"/>
  </r>
  <r>
    <s v="Hughes"/>
    <s v="Robert"/>
    <s v="Professor"/>
    <s v="Married"/>
    <n v="55"/>
    <s v="House 115"/>
  </r>
  <r>
    <s v="Price"/>
    <s v="Amanda"/>
    <s v="Artist"/>
    <s v="Divorced"/>
    <n v="41"/>
    <s v="House 225"/>
  </r>
  <r>
    <s v="Jenkins"/>
    <s v="William"/>
    <s v="Chef"/>
    <s v="Married"/>
    <n v="37"/>
    <s v="House 121"/>
  </r>
  <r>
    <s v="Foster"/>
    <s v="Julia"/>
    <s v="IT Specialist"/>
    <s v="Single"/>
    <n v="34"/>
    <s v="House 229"/>
  </r>
  <r>
    <s v="Morgan"/>
    <s v="Alexander"/>
    <s v="Consultant"/>
    <s v="Married"/>
    <n v="43"/>
    <s v="House 134"/>
  </r>
  <r>
    <s v="Bailey"/>
    <s v="Lauren"/>
    <s v="Pharmacist"/>
    <s v="Single"/>
    <n v="30"/>
    <s v="House 213"/>
  </r>
  <r>
    <s v="Gonzales"/>
    <s v="Carlos"/>
    <s v="Real Estate Agent"/>
    <s v="Married"/>
    <n v="47"/>
    <s v="House 137"/>
  </r>
  <r>
    <s v="Lee"/>
    <s v="Michelle"/>
    <s v="Financial Analyst"/>
    <s v="Divorced"/>
    <n v="40"/>
    <s v="House 231"/>
  </r>
  <r>
    <s v="Baker"/>
    <s v="Jason"/>
    <s v="Designer"/>
    <s v="Single"/>
    <n v="27"/>
    <s v="House 2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2">
  <r>
    <x v="0"/>
    <x v="0"/>
    <x v="0"/>
    <x v="0"/>
    <s v="Phone"/>
    <n v="1"/>
    <n v="11"/>
  </r>
  <r>
    <x v="1"/>
    <x v="1"/>
    <x v="1"/>
    <x v="1"/>
    <s v="Website"/>
    <n v="8"/>
    <n v="96"/>
  </r>
  <r>
    <x v="2"/>
    <x v="2"/>
    <x v="0"/>
    <x v="2"/>
    <s v="Live"/>
    <n v="2"/>
    <n v="26"/>
  </r>
  <r>
    <x v="3"/>
    <x v="3"/>
    <x v="2"/>
    <x v="1"/>
    <s v="Website"/>
    <n v="7"/>
    <n v="84"/>
  </r>
  <r>
    <x v="4"/>
    <x v="4"/>
    <x v="2"/>
    <x v="2"/>
    <s v="Live"/>
    <n v="8"/>
    <n v="104"/>
  </r>
  <r>
    <x v="5"/>
    <x v="1"/>
    <x v="1"/>
    <x v="0"/>
    <s v="Website"/>
    <n v="2"/>
    <n v="22"/>
  </r>
  <r>
    <x v="6"/>
    <x v="1"/>
    <x v="3"/>
    <x v="1"/>
    <s v="Phone"/>
    <n v="5"/>
    <n v="60"/>
  </r>
  <r>
    <x v="7"/>
    <x v="5"/>
    <x v="0"/>
    <x v="2"/>
    <s v="Live"/>
    <n v="2"/>
    <n v="26"/>
  </r>
  <r>
    <x v="8"/>
    <x v="2"/>
    <x v="3"/>
    <x v="1"/>
    <s v="Phone"/>
    <n v="8"/>
    <n v="96"/>
  </r>
  <r>
    <x v="9"/>
    <x v="1"/>
    <x v="2"/>
    <x v="1"/>
    <s v="Live"/>
    <n v="7"/>
    <n v="84"/>
  </r>
  <r>
    <x v="10"/>
    <x v="4"/>
    <x v="0"/>
    <x v="2"/>
    <s v="Phone"/>
    <n v="2"/>
    <n v="26"/>
  </r>
  <r>
    <x v="11"/>
    <x v="3"/>
    <x v="1"/>
    <x v="1"/>
    <s v="Live"/>
    <n v="8"/>
    <n v="96"/>
  </r>
  <r>
    <x v="12"/>
    <x v="5"/>
    <x v="1"/>
    <x v="2"/>
    <s v="Live"/>
    <n v="1"/>
    <n v="13"/>
  </r>
  <r>
    <x v="13"/>
    <x v="4"/>
    <x v="3"/>
    <x v="0"/>
    <s v="Phone"/>
    <n v="8"/>
    <n v="88"/>
  </r>
  <r>
    <x v="14"/>
    <x v="2"/>
    <x v="0"/>
    <x v="0"/>
    <s v="Live"/>
    <n v="6"/>
    <n v="66"/>
  </r>
  <r>
    <x v="15"/>
    <x v="5"/>
    <x v="1"/>
    <x v="2"/>
    <s v="Live"/>
    <n v="5"/>
    <n v="65"/>
  </r>
  <r>
    <x v="16"/>
    <x v="4"/>
    <x v="1"/>
    <x v="1"/>
    <s v="Live"/>
    <n v="7"/>
    <n v="84"/>
  </r>
  <r>
    <x v="17"/>
    <x v="3"/>
    <x v="1"/>
    <x v="0"/>
    <s v="Website"/>
    <n v="5"/>
    <n v="55"/>
  </r>
  <r>
    <x v="18"/>
    <x v="5"/>
    <x v="1"/>
    <x v="1"/>
    <s v="Phone"/>
    <n v="1"/>
    <n v="12"/>
  </r>
  <r>
    <x v="19"/>
    <x v="0"/>
    <x v="2"/>
    <x v="1"/>
    <s v="Live"/>
    <n v="4"/>
    <n v="48"/>
  </r>
  <r>
    <x v="20"/>
    <x v="1"/>
    <x v="2"/>
    <x v="1"/>
    <s v="Phone"/>
    <n v="7"/>
    <n v="84"/>
  </r>
  <r>
    <x v="21"/>
    <x v="2"/>
    <x v="3"/>
    <x v="0"/>
    <s v="Website"/>
    <n v="3"/>
    <n v="33"/>
  </r>
  <r>
    <x v="22"/>
    <x v="0"/>
    <x v="1"/>
    <x v="1"/>
    <s v="Phone"/>
    <n v="2"/>
    <n v="24"/>
  </r>
  <r>
    <x v="23"/>
    <x v="2"/>
    <x v="1"/>
    <x v="1"/>
    <s v="Live"/>
    <n v="6"/>
    <n v="72"/>
  </r>
  <r>
    <x v="24"/>
    <x v="4"/>
    <x v="3"/>
    <x v="0"/>
    <s v="Phone"/>
    <n v="6"/>
    <n v="66"/>
  </r>
  <r>
    <x v="25"/>
    <x v="1"/>
    <x v="0"/>
    <x v="2"/>
    <s v="Live"/>
    <n v="2"/>
    <n v="26"/>
  </r>
  <r>
    <x v="26"/>
    <x v="0"/>
    <x v="1"/>
    <x v="1"/>
    <s v="Phone"/>
    <n v="4"/>
    <n v="48"/>
  </r>
  <r>
    <x v="27"/>
    <x v="5"/>
    <x v="1"/>
    <x v="2"/>
    <s v="Phone"/>
    <n v="1"/>
    <n v="13"/>
  </r>
  <r>
    <x v="28"/>
    <x v="4"/>
    <x v="0"/>
    <x v="1"/>
    <s v="Live"/>
    <n v="1"/>
    <n v="12"/>
  </r>
  <r>
    <x v="29"/>
    <x v="5"/>
    <x v="1"/>
    <x v="0"/>
    <s v="Live"/>
    <n v="2"/>
    <n v="22"/>
  </r>
  <r>
    <x v="30"/>
    <x v="0"/>
    <x v="0"/>
    <x v="2"/>
    <s v="Live"/>
    <n v="5"/>
    <n v="65"/>
  </r>
  <r>
    <x v="31"/>
    <x v="5"/>
    <x v="0"/>
    <x v="1"/>
    <s v="Phone"/>
    <n v="5"/>
    <n v="60"/>
  </r>
  <r>
    <x v="32"/>
    <x v="5"/>
    <x v="2"/>
    <x v="2"/>
    <s v="Live"/>
    <n v="8"/>
    <n v="104"/>
  </r>
  <r>
    <x v="33"/>
    <x v="2"/>
    <x v="0"/>
    <x v="1"/>
    <s v="Phone"/>
    <n v="4"/>
    <n v="48"/>
  </r>
  <r>
    <x v="34"/>
    <x v="1"/>
    <x v="1"/>
    <x v="0"/>
    <s v="Phone"/>
    <n v="6"/>
    <n v="66"/>
  </r>
  <r>
    <x v="35"/>
    <x v="2"/>
    <x v="1"/>
    <x v="2"/>
    <s v="Website"/>
    <n v="7"/>
    <n v="91"/>
  </r>
  <r>
    <x v="36"/>
    <x v="1"/>
    <x v="2"/>
    <x v="0"/>
    <s v="Website"/>
    <n v="4"/>
    <n v="44"/>
  </r>
  <r>
    <x v="37"/>
    <x v="1"/>
    <x v="0"/>
    <x v="2"/>
    <s v="Live"/>
    <n v="6"/>
    <n v="78"/>
  </r>
  <r>
    <x v="38"/>
    <x v="2"/>
    <x v="0"/>
    <x v="1"/>
    <s v="Phone"/>
    <n v="1"/>
    <n v="12"/>
  </r>
  <r>
    <x v="39"/>
    <x v="4"/>
    <x v="1"/>
    <x v="1"/>
    <s v="Live"/>
    <n v="4"/>
    <n v="48"/>
  </r>
  <r>
    <x v="40"/>
    <x v="5"/>
    <x v="1"/>
    <x v="0"/>
    <s v="Phone"/>
    <n v="6"/>
    <n v="66"/>
  </r>
  <r>
    <x v="41"/>
    <x v="2"/>
    <x v="1"/>
    <x v="1"/>
    <s v="Live"/>
    <n v="3"/>
    <n v="36"/>
  </r>
  <r>
    <x v="42"/>
    <x v="4"/>
    <x v="0"/>
    <x v="2"/>
    <s v="Website"/>
    <n v="2"/>
    <n v="26"/>
  </r>
  <r>
    <x v="43"/>
    <x v="5"/>
    <x v="1"/>
    <x v="1"/>
    <s v="Live"/>
    <n v="1"/>
    <n v="12"/>
  </r>
  <r>
    <x v="44"/>
    <x v="2"/>
    <x v="3"/>
    <x v="1"/>
    <s v="Live"/>
    <n v="2"/>
    <n v="24"/>
  </r>
  <r>
    <x v="45"/>
    <x v="0"/>
    <x v="2"/>
    <x v="0"/>
    <s v="Website"/>
    <n v="8"/>
    <n v="88"/>
  </r>
  <r>
    <x v="46"/>
    <x v="1"/>
    <x v="1"/>
    <x v="2"/>
    <s v="Live"/>
    <n v="6"/>
    <n v="78"/>
  </r>
  <r>
    <x v="47"/>
    <x v="3"/>
    <x v="3"/>
    <x v="2"/>
    <s v="Phone"/>
    <n v="7"/>
    <n v="91"/>
  </r>
  <r>
    <x v="48"/>
    <x v="5"/>
    <x v="1"/>
    <x v="0"/>
    <s v="Website"/>
    <n v="2"/>
    <n v="22"/>
  </r>
  <r>
    <x v="49"/>
    <x v="1"/>
    <x v="2"/>
    <x v="1"/>
    <s v="Phone"/>
    <n v="6"/>
    <n v="72"/>
  </r>
  <r>
    <x v="50"/>
    <x v="4"/>
    <x v="2"/>
    <x v="1"/>
    <s v="Live"/>
    <n v="6"/>
    <n v="72"/>
  </r>
  <r>
    <x v="51"/>
    <x v="4"/>
    <x v="0"/>
    <x v="1"/>
    <s v="Phone"/>
    <n v="8"/>
    <n v="96"/>
  </r>
  <r>
    <x v="52"/>
    <x v="2"/>
    <x v="1"/>
    <x v="0"/>
    <s v="Website"/>
    <n v="3"/>
    <n v="33"/>
  </r>
  <r>
    <x v="53"/>
    <x v="5"/>
    <x v="2"/>
    <x v="1"/>
    <s v="Phone"/>
    <n v="2"/>
    <n v="24"/>
  </r>
  <r>
    <x v="54"/>
    <x v="3"/>
    <x v="1"/>
    <x v="1"/>
    <s v="Website"/>
    <n v="1"/>
    <n v="12"/>
  </r>
  <r>
    <x v="55"/>
    <x v="1"/>
    <x v="1"/>
    <x v="1"/>
    <s v="Phone"/>
    <n v="8"/>
    <n v="96"/>
  </r>
  <r>
    <x v="56"/>
    <x v="3"/>
    <x v="2"/>
    <x v="2"/>
    <s v="Live"/>
    <n v="1"/>
    <n v="13"/>
  </r>
  <r>
    <x v="57"/>
    <x v="4"/>
    <x v="3"/>
    <x v="2"/>
    <s v="Live"/>
    <n v="5"/>
    <n v="65"/>
  </r>
  <r>
    <x v="58"/>
    <x v="5"/>
    <x v="2"/>
    <x v="1"/>
    <s v="Phone"/>
    <n v="1"/>
    <n v="12"/>
  </r>
  <r>
    <x v="59"/>
    <x v="1"/>
    <x v="2"/>
    <x v="1"/>
    <s v="Phone"/>
    <n v="1"/>
    <n v="12"/>
  </r>
  <r>
    <x v="60"/>
    <x v="2"/>
    <x v="3"/>
    <x v="2"/>
    <s v="Live"/>
    <n v="4"/>
    <n v="52"/>
  </r>
  <r>
    <x v="61"/>
    <x v="4"/>
    <x v="1"/>
    <x v="1"/>
    <s v="Phone"/>
    <n v="5"/>
    <n v="60"/>
  </r>
  <r>
    <x v="62"/>
    <x v="3"/>
    <x v="3"/>
    <x v="2"/>
    <s v="Phone"/>
    <n v="3"/>
    <n v="39"/>
  </r>
  <r>
    <x v="63"/>
    <x v="2"/>
    <x v="2"/>
    <x v="1"/>
    <s v="Live"/>
    <n v="8"/>
    <n v="96"/>
  </r>
  <r>
    <x v="64"/>
    <x v="1"/>
    <x v="0"/>
    <x v="1"/>
    <s v="Phone"/>
    <n v="6"/>
    <n v="72"/>
  </r>
  <r>
    <x v="65"/>
    <x v="4"/>
    <x v="3"/>
    <x v="1"/>
    <s v="Live"/>
    <n v="1"/>
    <n v="12"/>
  </r>
  <r>
    <x v="66"/>
    <x v="5"/>
    <x v="3"/>
    <x v="2"/>
    <s v="Live"/>
    <n v="8"/>
    <n v="104"/>
  </r>
  <r>
    <x v="67"/>
    <x v="1"/>
    <x v="1"/>
    <x v="1"/>
    <s v="Live"/>
    <n v="5"/>
    <n v="60"/>
  </r>
  <r>
    <x v="68"/>
    <x v="2"/>
    <x v="2"/>
    <x v="2"/>
    <s v="Website"/>
    <n v="6"/>
    <n v="78"/>
  </r>
  <r>
    <x v="69"/>
    <x v="0"/>
    <x v="2"/>
    <x v="1"/>
    <s v="Live"/>
    <n v="8"/>
    <n v="96"/>
  </r>
  <r>
    <x v="70"/>
    <x v="3"/>
    <x v="0"/>
    <x v="1"/>
    <s v="Website"/>
    <n v="3"/>
    <n v="36"/>
  </r>
  <r>
    <x v="71"/>
    <x v="1"/>
    <x v="1"/>
    <x v="2"/>
    <s v="Live"/>
    <n v="5"/>
    <n v="65"/>
  </r>
  <r>
    <x v="72"/>
    <x v="2"/>
    <x v="0"/>
    <x v="2"/>
    <s v="Phone"/>
    <n v="5"/>
    <n v="65"/>
  </r>
  <r>
    <x v="73"/>
    <x v="3"/>
    <x v="1"/>
    <x v="2"/>
    <s v="Phone"/>
    <n v="1"/>
    <n v="13"/>
  </r>
  <r>
    <x v="74"/>
    <x v="3"/>
    <x v="1"/>
    <x v="0"/>
    <s v="Live"/>
    <n v="4"/>
    <n v="44"/>
  </r>
  <r>
    <x v="75"/>
    <x v="1"/>
    <x v="0"/>
    <x v="0"/>
    <s v="Live"/>
    <n v="2"/>
    <n v="22"/>
  </r>
  <r>
    <x v="76"/>
    <x v="0"/>
    <x v="1"/>
    <x v="2"/>
    <s v="Phone"/>
    <n v="6"/>
    <n v="78"/>
  </r>
  <r>
    <x v="77"/>
    <x v="4"/>
    <x v="3"/>
    <x v="1"/>
    <s v="Website"/>
    <n v="7"/>
    <n v="84"/>
  </r>
  <r>
    <x v="78"/>
    <x v="0"/>
    <x v="0"/>
    <x v="1"/>
    <s v="Live"/>
    <n v="5"/>
    <n v="60"/>
  </r>
  <r>
    <x v="79"/>
    <x v="1"/>
    <x v="3"/>
    <x v="2"/>
    <s v="Website"/>
    <n v="8"/>
    <n v="104"/>
  </r>
  <r>
    <x v="80"/>
    <x v="2"/>
    <x v="0"/>
    <x v="0"/>
    <s v="Phone"/>
    <n v="3"/>
    <n v="33"/>
  </r>
  <r>
    <x v="81"/>
    <x v="1"/>
    <x v="0"/>
    <x v="1"/>
    <s v="Live"/>
    <n v="4"/>
    <n v="48"/>
  </r>
  <r>
    <x v="82"/>
    <x v="5"/>
    <x v="3"/>
    <x v="1"/>
    <s v="Live"/>
    <n v="7"/>
    <n v="84"/>
  </r>
  <r>
    <x v="83"/>
    <x v="1"/>
    <x v="0"/>
    <x v="0"/>
    <s v="Phone"/>
    <n v="5"/>
    <n v="55"/>
  </r>
  <r>
    <x v="84"/>
    <x v="2"/>
    <x v="3"/>
    <x v="2"/>
    <s v="Phone"/>
    <n v="8"/>
    <n v="104"/>
  </r>
  <r>
    <x v="85"/>
    <x v="4"/>
    <x v="0"/>
    <x v="1"/>
    <s v="Live"/>
    <n v="7"/>
    <n v="84"/>
  </r>
  <r>
    <x v="86"/>
    <x v="2"/>
    <x v="0"/>
    <x v="1"/>
    <s v="Website"/>
    <n v="1"/>
    <n v="12"/>
  </r>
  <r>
    <x v="87"/>
    <x v="2"/>
    <x v="2"/>
    <x v="2"/>
    <s v="Phone"/>
    <n v="3"/>
    <n v="39"/>
  </r>
  <r>
    <x v="88"/>
    <x v="1"/>
    <x v="0"/>
    <x v="2"/>
    <s v="Live"/>
    <n v="5"/>
    <n v="65"/>
  </r>
  <r>
    <x v="89"/>
    <x v="1"/>
    <x v="2"/>
    <x v="0"/>
    <s v="Phone"/>
    <n v="7"/>
    <n v="77"/>
  </r>
  <r>
    <x v="90"/>
    <x v="3"/>
    <x v="0"/>
    <x v="0"/>
    <s v="Phone"/>
    <n v="4"/>
    <n v="44"/>
  </r>
  <r>
    <x v="91"/>
    <x v="2"/>
    <x v="0"/>
    <x v="1"/>
    <s v="Phone"/>
    <n v="1"/>
    <n v="12"/>
  </r>
  <r>
    <x v="92"/>
    <x v="1"/>
    <x v="3"/>
    <x v="0"/>
    <s v="Live"/>
    <n v="2"/>
    <n v="22"/>
  </r>
  <r>
    <x v="93"/>
    <x v="4"/>
    <x v="0"/>
    <x v="1"/>
    <s v="Website"/>
    <n v="8"/>
    <n v="96"/>
  </r>
  <r>
    <x v="94"/>
    <x v="3"/>
    <x v="2"/>
    <x v="2"/>
    <s v="Phone"/>
    <n v="1"/>
    <n v="13"/>
  </r>
  <r>
    <x v="95"/>
    <x v="0"/>
    <x v="0"/>
    <x v="0"/>
    <s v="Website"/>
    <n v="3"/>
    <n v="33"/>
  </r>
  <r>
    <x v="96"/>
    <x v="5"/>
    <x v="0"/>
    <x v="2"/>
    <s v="Live"/>
    <n v="4"/>
    <n v="52"/>
  </r>
  <r>
    <x v="97"/>
    <x v="4"/>
    <x v="3"/>
    <x v="0"/>
    <s v="Phone"/>
    <n v="2"/>
    <n v="22"/>
  </r>
  <r>
    <x v="98"/>
    <x v="3"/>
    <x v="0"/>
    <x v="0"/>
    <s v="Website"/>
    <n v="5"/>
    <n v="55"/>
  </r>
  <r>
    <x v="99"/>
    <x v="2"/>
    <x v="3"/>
    <x v="1"/>
    <s v="Website"/>
    <n v="1"/>
    <n v="12"/>
  </r>
  <r>
    <x v="100"/>
    <x v="1"/>
    <x v="1"/>
    <x v="0"/>
    <s v="Live"/>
    <n v="2"/>
    <n v="22"/>
  </r>
  <r>
    <x v="101"/>
    <x v="3"/>
    <x v="3"/>
    <x v="1"/>
    <s v="Website"/>
    <n v="7"/>
    <n v="84"/>
  </r>
  <r>
    <x v="102"/>
    <x v="1"/>
    <x v="2"/>
    <x v="0"/>
    <s v="Phone"/>
    <n v="5"/>
    <n v="55"/>
  </r>
  <r>
    <x v="103"/>
    <x v="2"/>
    <x v="0"/>
    <x v="0"/>
    <s v="Phone"/>
    <n v="2"/>
    <n v="22"/>
  </r>
  <r>
    <x v="104"/>
    <x v="0"/>
    <x v="0"/>
    <x v="2"/>
    <s v="Live"/>
    <n v="3"/>
    <n v="39"/>
  </r>
  <r>
    <x v="105"/>
    <x v="3"/>
    <x v="2"/>
    <x v="2"/>
    <s v="Website"/>
    <n v="2"/>
    <n v="26"/>
  </r>
  <r>
    <x v="106"/>
    <x v="0"/>
    <x v="0"/>
    <x v="2"/>
    <s v="Live"/>
    <n v="3"/>
    <n v="39"/>
  </r>
  <r>
    <x v="107"/>
    <x v="1"/>
    <x v="0"/>
    <x v="1"/>
    <s v="Phone"/>
    <n v="8"/>
    <n v="96"/>
  </r>
  <r>
    <x v="108"/>
    <x v="3"/>
    <x v="0"/>
    <x v="0"/>
    <s v="Live"/>
    <n v="1"/>
    <n v="11"/>
  </r>
  <r>
    <x v="109"/>
    <x v="5"/>
    <x v="0"/>
    <x v="0"/>
    <s v="Website"/>
    <n v="8"/>
    <n v="88"/>
  </r>
  <r>
    <x v="110"/>
    <x v="4"/>
    <x v="3"/>
    <x v="2"/>
    <s v="Live"/>
    <n v="5"/>
    <n v="65"/>
  </r>
  <r>
    <x v="111"/>
    <x v="4"/>
    <x v="1"/>
    <x v="1"/>
    <s v="Phone"/>
    <n v="1"/>
    <n v="12"/>
  </r>
  <r>
    <x v="112"/>
    <x v="3"/>
    <x v="0"/>
    <x v="0"/>
    <s v="Phone"/>
    <n v="8"/>
    <n v="88"/>
  </r>
  <r>
    <x v="113"/>
    <x v="4"/>
    <x v="0"/>
    <x v="2"/>
    <s v="Website"/>
    <n v="1"/>
    <n v="13"/>
  </r>
  <r>
    <x v="114"/>
    <x v="2"/>
    <x v="0"/>
    <x v="1"/>
    <s v="Live"/>
    <n v="6"/>
    <n v="72"/>
  </r>
  <r>
    <x v="115"/>
    <x v="5"/>
    <x v="2"/>
    <x v="0"/>
    <s v="Website"/>
    <n v="5"/>
    <n v="55"/>
  </r>
  <r>
    <x v="116"/>
    <x v="0"/>
    <x v="3"/>
    <x v="1"/>
    <s v="Live"/>
    <n v="3"/>
    <n v="36"/>
  </r>
  <r>
    <x v="117"/>
    <x v="3"/>
    <x v="1"/>
    <x v="2"/>
    <s v="Phone"/>
    <n v="8"/>
    <n v="104"/>
  </r>
  <r>
    <x v="118"/>
    <x v="1"/>
    <x v="3"/>
    <x v="0"/>
    <s v="Live"/>
    <n v="1"/>
    <n v="11"/>
  </r>
  <r>
    <x v="119"/>
    <x v="4"/>
    <x v="2"/>
    <x v="1"/>
    <s v="Website"/>
    <n v="3"/>
    <n v="36"/>
  </r>
  <r>
    <x v="120"/>
    <x v="1"/>
    <x v="1"/>
    <x v="1"/>
    <s v="Phone"/>
    <n v="4"/>
    <n v="48"/>
  </r>
  <r>
    <x v="121"/>
    <x v="2"/>
    <x v="3"/>
    <x v="2"/>
    <s v="Website"/>
    <n v="8"/>
    <n v="104"/>
  </r>
  <r>
    <x v="122"/>
    <x v="3"/>
    <x v="2"/>
    <x v="0"/>
    <s v="Live"/>
    <n v="7"/>
    <n v="77"/>
  </r>
  <r>
    <x v="123"/>
    <x v="5"/>
    <x v="0"/>
    <x v="0"/>
    <s v="Live"/>
    <n v="5"/>
    <n v="55"/>
  </r>
  <r>
    <x v="124"/>
    <x v="0"/>
    <x v="3"/>
    <x v="1"/>
    <s v="Phone"/>
    <n v="2"/>
    <n v="24"/>
  </r>
  <r>
    <x v="125"/>
    <x v="1"/>
    <x v="2"/>
    <x v="0"/>
    <s v="Phone"/>
    <n v="5"/>
    <n v="55"/>
  </r>
  <r>
    <x v="126"/>
    <x v="0"/>
    <x v="0"/>
    <x v="2"/>
    <s v="Phone"/>
    <n v="7"/>
    <n v="91"/>
  </r>
  <r>
    <x v="127"/>
    <x v="2"/>
    <x v="0"/>
    <x v="2"/>
    <s v="Website"/>
    <n v="1"/>
    <n v="13"/>
  </r>
  <r>
    <x v="128"/>
    <x v="3"/>
    <x v="0"/>
    <x v="0"/>
    <s v="Live"/>
    <n v="7"/>
    <n v="77"/>
  </r>
  <r>
    <x v="129"/>
    <x v="1"/>
    <x v="2"/>
    <x v="1"/>
    <s v="Live"/>
    <n v="4"/>
    <n v="48"/>
  </r>
  <r>
    <x v="130"/>
    <x v="0"/>
    <x v="1"/>
    <x v="0"/>
    <s v="Phone"/>
    <n v="6"/>
    <n v="66"/>
  </r>
  <r>
    <x v="131"/>
    <x v="1"/>
    <x v="0"/>
    <x v="1"/>
    <s v="Website"/>
    <n v="2"/>
    <n v="24"/>
  </r>
  <r>
    <x v="132"/>
    <x v="1"/>
    <x v="3"/>
    <x v="1"/>
    <s v="Phone"/>
    <n v="6"/>
    <n v="72"/>
  </r>
  <r>
    <x v="133"/>
    <x v="2"/>
    <x v="0"/>
    <x v="0"/>
    <s v="Live"/>
    <n v="8"/>
    <n v="88"/>
  </r>
  <r>
    <x v="134"/>
    <x v="0"/>
    <x v="0"/>
    <x v="0"/>
    <s v="Phone"/>
    <n v="7"/>
    <n v="77"/>
  </r>
  <r>
    <x v="135"/>
    <x v="0"/>
    <x v="1"/>
    <x v="1"/>
    <s v="Website"/>
    <n v="2"/>
    <n v="24"/>
  </r>
  <r>
    <x v="136"/>
    <x v="1"/>
    <x v="3"/>
    <x v="2"/>
    <s v="Live"/>
    <n v="8"/>
    <n v="104"/>
  </r>
  <r>
    <x v="137"/>
    <x v="5"/>
    <x v="0"/>
    <x v="2"/>
    <s v="Live"/>
    <n v="6"/>
    <n v="78"/>
  </r>
  <r>
    <x v="138"/>
    <x v="4"/>
    <x v="1"/>
    <x v="0"/>
    <s v="Website"/>
    <n v="6"/>
    <n v="66"/>
  </r>
  <r>
    <x v="139"/>
    <x v="2"/>
    <x v="0"/>
    <x v="1"/>
    <s v="Website"/>
    <n v="3"/>
    <n v="36"/>
  </r>
  <r>
    <x v="140"/>
    <x v="1"/>
    <x v="2"/>
    <x v="0"/>
    <s v="Phone"/>
    <n v="4"/>
    <n v="44"/>
  </r>
  <r>
    <x v="141"/>
    <x v="1"/>
    <x v="1"/>
    <x v="0"/>
    <s v="Website"/>
    <n v="1"/>
    <n v="11"/>
  </r>
  <r>
    <x v="142"/>
    <x v="4"/>
    <x v="1"/>
    <x v="0"/>
    <s v="Website"/>
    <n v="1"/>
    <n v="11"/>
  </r>
  <r>
    <x v="143"/>
    <x v="3"/>
    <x v="3"/>
    <x v="2"/>
    <s v="Website"/>
    <n v="6"/>
    <n v="78"/>
  </r>
  <r>
    <x v="144"/>
    <x v="3"/>
    <x v="3"/>
    <x v="0"/>
    <s v="Live"/>
    <n v="3"/>
    <n v="33"/>
  </r>
  <r>
    <x v="145"/>
    <x v="5"/>
    <x v="1"/>
    <x v="1"/>
    <s v="Phone"/>
    <n v="4"/>
    <n v="48"/>
  </r>
  <r>
    <x v="146"/>
    <x v="4"/>
    <x v="1"/>
    <x v="1"/>
    <s v="Phone"/>
    <n v="4"/>
    <n v="48"/>
  </r>
  <r>
    <x v="147"/>
    <x v="5"/>
    <x v="0"/>
    <x v="2"/>
    <s v="Live"/>
    <n v="7"/>
    <n v="91"/>
  </r>
  <r>
    <x v="148"/>
    <x v="2"/>
    <x v="3"/>
    <x v="0"/>
    <s v="Phone"/>
    <n v="4"/>
    <n v="44"/>
  </r>
  <r>
    <x v="149"/>
    <x v="4"/>
    <x v="2"/>
    <x v="2"/>
    <s v="Website"/>
    <n v="2"/>
    <n v="26"/>
  </r>
  <r>
    <x v="150"/>
    <x v="1"/>
    <x v="1"/>
    <x v="0"/>
    <s v="Phone"/>
    <n v="8"/>
    <n v="88"/>
  </r>
  <r>
    <x v="151"/>
    <x v="1"/>
    <x v="2"/>
    <x v="0"/>
    <s v="Website"/>
    <n v="3"/>
    <n v="33"/>
  </r>
  <r>
    <x v="152"/>
    <x v="0"/>
    <x v="2"/>
    <x v="2"/>
    <s v="Phone"/>
    <n v="5"/>
    <n v="65"/>
  </r>
  <r>
    <x v="153"/>
    <x v="5"/>
    <x v="2"/>
    <x v="1"/>
    <s v="Phone"/>
    <n v="1"/>
    <n v="12"/>
  </r>
  <r>
    <x v="154"/>
    <x v="1"/>
    <x v="0"/>
    <x v="2"/>
    <s v="Live"/>
    <n v="4"/>
    <n v="52"/>
  </r>
  <r>
    <x v="155"/>
    <x v="0"/>
    <x v="3"/>
    <x v="0"/>
    <s v="Live"/>
    <n v="5"/>
    <n v="55"/>
  </r>
  <r>
    <x v="156"/>
    <x v="2"/>
    <x v="0"/>
    <x v="2"/>
    <s v="Live"/>
    <n v="4"/>
    <n v="52"/>
  </r>
  <r>
    <x v="157"/>
    <x v="1"/>
    <x v="0"/>
    <x v="0"/>
    <s v="Website"/>
    <n v="6"/>
    <n v="66"/>
  </r>
  <r>
    <x v="158"/>
    <x v="5"/>
    <x v="1"/>
    <x v="2"/>
    <s v="Phone"/>
    <n v="3"/>
    <n v="39"/>
  </r>
  <r>
    <x v="159"/>
    <x v="0"/>
    <x v="1"/>
    <x v="1"/>
    <s v="Phone"/>
    <n v="6"/>
    <n v="72"/>
  </r>
  <r>
    <x v="160"/>
    <x v="1"/>
    <x v="0"/>
    <x v="2"/>
    <s v="Website"/>
    <n v="1"/>
    <n v="13"/>
  </r>
  <r>
    <x v="161"/>
    <x v="1"/>
    <x v="1"/>
    <x v="0"/>
    <s v="Live"/>
    <n v="1"/>
    <n v="11"/>
  </r>
  <r>
    <x v="162"/>
    <x v="0"/>
    <x v="0"/>
    <x v="0"/>
    <s v="Phone"/>
    <n v="7"/>
    <n v="77"/>
  </r>
  <r>
    <x v="163"/>
    <x v="2"/>
    <x v="0"/>
    <x v="1"/>
    <s v="Website"/>
    <n v="5"/>
    <n v="60"/>
  </r>
  <r>
    <x v="164"/>
    <x v="4"/>
    <x v="1"/>
    <x v="0"/>
    <s v="Live"/>
    <n v="4"/>
    <n v="44"/>
  </r>
  <r>
    <x v="165"/>
    <x v="5"/>
    <x v="3"/>
    <x v="2"/>
    <s v="Website"/>
    <n v="6"/>
    <n v="78"/>
  </r>
  <r>
    <x v="166"/>
    <x v="4"/>
    <x v="1"/>
    <x v="2"/>
    <s v="Live"/>
    <n v="1"/>
    <n v="13"/>
  </r>
  <r>
    <x v="167"/>
    <x v="1"/>
    <x v="2"/>
    <x v="2"/>
    <s v="Phone"/>
    <n v="7"/>
    <n v="91"/>
  </r>
  <r>
    <x v="168"/>
    <x v="1"/>
    <x v="2"/>
    <x v="1"/>
    <s v="Phone"/>
    <n v="3"/>
    <n v="36"/>
  </r>
  <r>
    <x v="169"/>
    <x v="2"/>
    <x v="0"/>
    <x v="1"/>
    <s v="Website"/>
    <n v="2"/>
    <n v="24"/>
  </r>
  <r>
    <x v="170"/>
    <x v="1"/>
    <x v="0"/>
    <x v="2"/>
    <s v="Live"/>
    <n v="8"/>
    <n v="104"/>
  </r>
  <r>
    <x v="171"/>
    <x v="3"/>
    <x v="2"/>
    <x v="1"/>
    <s v="Live"/>
    <n v="6"/>
    <n v="72"/>
  </r>
  <r>
    <x v="172"/>
    <x v="5"/>
    <x v="0"/>
    <x v="0"/>
    <s v="Live"/>
    <n v="5"/>
    <n v="55"/>
  </r>
  <r>
    <x v="173"/>
    <x v="2"/>
    <x v="0"/>
    <x v="1"/>
    <s v="Live"/>
    <n v="4"/>
    <n v="48"/>
  </r>
  <r>
    <x v="174"/>
    <x v="0"/>
    <x v="0"/>
    <x v="0"/>
    <s v="Website"/>
    <n v="8"/>
    <n v="88"/>
  </r>
  <r>
    <x v="175"/>
    <x v="0"/>
    <x v="3"/>
    <x v="1"/>
    <s v="Phone"/>
    <n v="8"/>
    <n v="96"/>
  </r>
  <r>
    <x v="176"/>
    <x v="0"/>
    <x v="0"/>
    <x v="2"/>
    <s v="Website"/>
    <n v="5"/>
    <n v="65"/>
  </r>
  <r>
    <x v="177"/>
    <x v="1"/>
    <x v="2"/>
    <x v="1"/>
    <s v="Phone"/>
    <n v="3"/>
    <n v="36"/>
  </r>
  <r>
    <x v="178"/>
    <x v="5"/>
    <x v="0"/>
    <x v="1"/>
    <s v="Phone"/>
    <n v="4"/>
    <n v="48"/>
  </r>
  <r>
    <x v="179"/>
    <x v="2"/>
    <x v="0"/>
    <x v="1"/>
    <s v="Phone"/>
    <n v="5"/>
    <n v="60"/>
  </r>
  <r>
    <x v="180"/>
    <x v="4"/>
    <x v="0"/>
    <x v="2"/>
    <s v="Live"/>
    <n v="1"/>
    <n v="13"/>
  </r>
  <r>
    <x v="181"/>
    <x v="1"/>
    <x v="2"/>
    <x v="0"/>
    <s v="Phone"/>
    <n v="4"/>
    <n v="44"/>
  </r>
  <r>
    <x v="182"/>
    <x v="0"/>
    <x v="2"/>
    <x v="2"/>
    <s v="Website"/>
    <n v="5"/>
    <n v="65"/>
  </r>
  <r>
    <x v="183"/>
    <x v="5"/>
    <x v="2"/>
    <x v="1"/>
    <s v="Phone"/>
    <n v="5"/>
    <n v="60"/>
  </r>
  <r>
    <x v="184"/>
    <x v="1"/>
    <x v="0"/>
    <x v="1"/>
    <s v="Phone"/>
    <n v="1"/>
    <n v="12"/>
  </r>
  <r>
    <x v="185"/>
    <x v="4"/>
    <x v="2"/>
    <x v="1"/>
    <s v="Live"/>
    <n v="6"/>
    <n v="72"/>
  </r>
  <r>
    <x v="186"/>
    <x v="0"/>
    <x v="2"/>
    <x v="2"/>
    <s v="Phone"/>
    <n v="2"/>
    <n v="26"/>
  </r>
  <r>
    <x v="187"/>
    <x v="2"/>
    <x v="2"/>
    <x v="1"/>
    <s v="Live"/>
    <n v="1"/>
    <n v="12"/>
  </r>
  <r>
    <x v="188"/>
    <x v="4"/>
    <x v="3"/>
    <x v="1"/>
    <s v="Website"/>
    <n v="1"/>
    <n v="12"/>
  </r>
  <r>
    <x v="189"/>
    <x v="0"/>
    <x v="1"/>
    <x v="2"/>
    <s v="Phone"/>
    <n v="8"/>
    <n v="104"/>
  </r>
  <r>
    <x v="190"/>
    <x v="1"/>
    <x v="2"/>
    <x v="0"/>
    <s v="Phone"/>
    <n v="4"/>
    <n v="44"/>
  </r>
  <r>
    <x v="191"/>
    <x v="1"/>
    <x v="1"/>
    <x v="1"/>
    <s v="Phone"/>
    <n v="8"/>
    <n v="96"/>
  </r>
  <r>
    <x v="192"/>
    <x v="2"/>
    <x v="2"/>
    <x v="0"/>
    <s v="Website"/>
    <n v="2"/>
    <n v="22"/>
  </r>
  <r>
    <x v="193"/>
    <x v="3"/>
    <x v="2"/>
    <x v="2"/>
    <s v="Website"/>
    <n v="3"/>
    <n v="39"/>
  </r>
  <r>
    <x v="194"/>
    <x v="3"/>
    <x v="0"/>
    <x v="3"/>
    <s v="Live"/>
    <n v="6"/>
    <n v="84"/>
  </r>
  <r>
    <x v="195"/>
    <x v="1"/>
    <x v="2"/>
    <x v="0"/>
    <s v="Phone"/>
    <n v="8"/>
    <n v="88"/>
  </r>
  <r>
    <x v="196"/>
    <x v="5"/>
    <x v="2"/>
    <x v="1"/>
    <s v="Phone"/>
    <n v="8"/>
    <n v="96"/>
  </r>
  <r>
    <x v="197"/>
    <x v="4"/>
    <x v="0"/>
    <x v="1"/>
    <s v="Website"/>
    <n v="4"/>
    <n v="48"/>
  </r>
  <r>
    <x v="198"/>
    <x v="1"/>
    <x v="0"/>
    <x v="1"/>
    <s v="Live"/>
    <n v="6"/>
    <n v="72"/>
  </r>
  <r>
    <x v="199"/>
    <x v="2"/>
    <x v="2"/>
    <x v="3"/>
    <s v="Phone"/>
    <n v="7"/>
    <n v="98"/>
  </r>
  <r>
    <x v="200"/>
    <x v="4"/>
    <x v="3"/>
    <x v="1"/>
    <s v="Phone"/>
    <n v="3"/>
    <n v="36"/>
  </r>
  <r>
    <x v="201"/>
    <x v="4"/>
    <x v="2"/>
    <x v="2"/>
    <s v="Live"/>
    <n v="4"/>
    <n v="52"/>
  </r>
  <r>
    <x v="202"/>
    <x v="2"/>
    <x v="0"/>
    <x v="3"/>
    <s v="Website"/>
    <n v="6"/>
    <n v="84"/>
  </r>
  <r>
    <x v="203"/>
    <x v="1"/>
    <x v="2"/>
    <x v="0"/>
    <s v="Phone"/>
    <n v="1"/>
    <n v="11"/>
  </r>
  <r>
    <x v="204"/>
    <x v="5"/>
    <x v="1"/>
    <x v="0"/>
    <s v="Phone"/>
    <n v="6"/>
    <n v="66"/>
  </r>
  <r>
    <x v="205"/>
    <x v="3"/>
    <x v="0"/>
    <x v="1"/>
    <s v="Phone"/>
    <n v="1"/>
    <n v="12"/>
  </r>
  <r>
    <x v="206"/>
    <x v="1"/>
    <x v="1"/>
    <x v="1"/>
    <s v="Website"/>
    <n v="3"/>
    <n v="36"/>
  </r>
  <r>
    <x v="207"/>
    <x v="3"/>
    <x v="2"/>
    <x v="2"/>
    <s v="Website"/>
    <n v="3"/>
    <n v="39"/>
  </r>
  <r>
    <x v="208"/>
    <x v="4"/>
    <x v="1"/>
    <x v="1"/>
    <s v="Phone"/>
    <n v="8"/>
    <n v="96"/>
  </r>
  <r>
    <x v="209"/>
    <x v="2"/>
    <x v="3"/>
    <x v="3"/>
    <s v="Website"/>
    <n v="3"/>
    <n v="42"/>
  </r>
  <r>
    <x v="210"/>
    <x v="5"/>
    <x v="0"/>
    <x v="1"/>
    <s v="Phone"/>
    <n v="7"/>
    <n v="84"/>
  </r>
  <r>
    <x v="211"/>
    <x v="1"/>
    <x v="0"/>
    <x v="1"/>
    <s v="Website"/>
    <n v="5"/>
    <n v="60"/>
  </r>
  <r>
    <x v="212"/>
    <x v="1"/>
    <x v="2"/>
    <x v="2"/>
    <s v="Live"/>
    <n v="4"/>
    <n v="52"/>
  </r>
  <r>
    <x v="213"/>
    <x v="4"/>
    <x v="2"/>
    <x v="0"/>
    <s v="Phone"/>
    <n v="5"/>
    <n v="55"/>
  </r>
  <r>
    <x v="214"/>
    <x v="1"/>
    <x v="0"/>
    <x v="0"/>
    <s v="Phone"/>
    <n v="1"/>
    <n v="11"/>
  </r>
  <r>
    <x v="215"/>
    <x v="3"/>
    <x v="2"/>
    <x v="1"/>
    <s v="Website"/>
    <n v="8"/>
    <n v="96"/>
  </r>
  <r>
    <x v="216"/>
    <x v="5"/>
    <x v="2"/>
    <x v="1"/>
    <s v="Live"/>
    <n v="7"/>
    <n v="84"/>
  </r>
  <r>
    <x v="217"/>
    <x v="2"/>
    <x v="0"/>
    <x v="3"/>
    <s v="Website"/>
    <n v="5"/>
    <n v="70"/>
  </r>
  <r>
    <x v="218"/>
    <x v="1"/>
    <x v="0"/>
    <x v="3"/>
    <s v="Live"/>
    <n v="4"/>
    <n v="56"/>
  </r>
  <r>
    <x v="219"/>
    <x v="2"/>
    <x v="0"/>
    <x v="1"/>
    <s v="Website"/>
    <n v="6"/>
    <n v="72"/>
  </r>
  <r>
    <x v="220"/>
    <x v="1"/>
    <x v="3"/>
    <x v="1"/>
    <s v="Live"/>
    <n v="4"/>
    <n v="48"/>
  </r>
  <r>
    <x v="221"/>
    <x v="3"/>
    <x v="2"/>
    <x v="3"/>
    <s v="Phone"/>
    <n v="4"/>
    <n v="56"/>
  </r>
  <r>
    <x v="222"/>
    <x v="5"/>
    <x v="0"/>
    <x v="2"/>
    <s v="Live"/>
    <n v="1"/>
    <n v="13"/>
  </r>
  <r>
    <x v="223"/>
    <x v="4"/>
    <x v="1"/>
    <x v="2"/>
    <s v="Phone"/>
    <n v="8"/>
    <n v="104"/>
  </r>
  <r>
    <x v="224"/>
    <x v="5"/>
    <x v="0"/>
    <x v="2"/>
    <s v="Live"/>
    <n v="1"/>
    <n v="13"/>
  </r>
  <r>
    <x v="225"/>
    <x v="3"/>
    <x v="3"/>
    <x v="1"/>
    <s v="Phone"/>
    <n v="4"/>
    <n v="48"/>
  </r>
  <r>
    <x v="226"/>
    <x v="2"/>
    <x v="0"/>
    <x v="3"/>
    <s v="Live"/>
    <n v="1"/>
    <n v="14"/>
  </r>
  <r>
    <x v="227"/>
    <x v="4"/>
    <x v="1"/>
    <x v="3"/>
    <s v="Phone"/>
    <n v="4"/>
    <n v="56"/>
  </r>
  <r>
    <x v="228"/>
    <x v="3"/>
    <x v="0"/>
    <x v="0"/>
    <s v="Phone"/>
    <n v="8"/>
    <n v="88"/>
  </r>
  <r>
    <x v="229"/>
    <x v="1"/>
    <x v="0"/>
    <x v="3"/>
    <s v="Live"/>
    <n v="4"/>
    <n v="56"/>
  </r>
  <r>
    <x v="230"/>
    <x v="1"/>
    <x v="2"/>
    <x v="2"/>
    <s v="Website"/>
    <n v="6"/>
    <n v="78"/>
  </r>
  <r>
    <x v="231"/>
    <x v="2"/>
    <x v="3"/>
    <x v="3"/>
    <s v="Live"/>
    <n v="8"/>
    <n v="112"/>
  </r>
  <r>
    <x v="232"/>
    <x v="3"/>
    <x v="2"/>
    <x v="3"/>
    <s v="Phone"/>
    <n v="3"/>
    <n v="42"/>
  </r>
  <r>
    <x v="233"/>
    <x v="5"/>
    <x v="2"/>
    <x v="1"/>
    <s v="Phone"/>
    <n v="2"/>
    <n v="24"/>
  </r>
  <r>
    <x v="234"/>
    <x v="1"/>
    <x v="2"/>
    <x v="1"/>
    <s v="Live"/>
    <n v="7"/>
    <n v="84"/>
  </r>
  <r>
    <x v="235"/>
    <x v="4"/>
    <x v="0"/>
    <x v="2"/>
    <s v="Phone"/>
    <n v="1"/>
    <n v="13"/>
  </r>
  <r>
    <x v="236"/>
    <x v="1"/>
    <x v="2"/>
    <x v="2"/>
    <s v="Website"/>
    <n v="5"/>
    <n v="65"/>
  </r>
  <r>
    <x v="237"/>
    <x v="4"/>
    <x v="2"/>
    <x v="0"/>
    <s v="Website"/>
    <n v="8"/>
    <n v="88"/>
  </r>
  <r>
    <x v="238"/>
    <x v="2"/>
    <x v="0"/>
    <x v="3"/>
    <s v="Phone"/>
    <n v="8"/>
    <n v="112"/>
  </r>
  <r>
    <x v="239"/>
    <x v="5"/>
    <x v="0"/>
    <x v="1"/>
    <s v="Phone"/>
    <n v="3"/>
    <n v="36"/>
  </r>
  <r>
    <x v="240"/>
    <x v="2"/>
    <x v="0"/>
    <x v="0"/>
    <s v="Phone"/>
    <n v="2"/>
    <n v="22"/>
  </r>
  <r>
    <x v="241"/>
    <x v="1"/>
    <x v="0"/>
    <x v="1"/>
    <s v="Website"/>
    <n v="1"/>
    <n v="12"/>
  </r>
  <r>
    <x v="242"/>
    <x v="5"/>
    <x v="3"/>
    <x v="1"/>
    <s v="Phone"/>
    <n v="6"/>
    <n v="72"/>
  </r>
  <r>
    <x v="243"/>
    <x v="2"/>
    <x v="1"/>
    <x v="2"/>
    <s v="Live"/>
    <n v="1"/>
    <n v="13"/>
  </r>
  <r>
    <x v="244"/>
    <x v="5"/>
    <x v="0"/>
    <x v="2"/>
    <s v="Live"/>
    <n v="2"/>
    <n v="26"/>
  </r>
  <r>
    <x v="245"/>
    <x v="4"/>
    <x v="0"/>
    <x v="3"/>
    <s v="Website"/>
    <n v="1"/>
    <n v="14"/>
  </r>
  <r>
    <x v="246"/>
    <x v="5"/>
    <x v="1"/>
    <x v="1"/>
    <s v="Phone"/>
    <n v="6"/>
    <n v="72"/>
  </r>
  <r>
    <x v="247"/>
    <x v="5"/>
    <x v="1"/>
    <x v="0"/>
    <s v="Phone"/>
    <n v="1"/>
    <n v="11"/>
  </r>
  <r>
    <x v="248"/>
    <x v="4"/>
    <x v="0"/>
    <x v="3"/>
    <s v="Phone"/>
    <n v="5"/>
    <n v="70"/>
  </r>
  <r>
    <x v="249"/>
    <x v="1"/>
    <x v="2"/>
    <x v="0"/>
    <s v="Website"/>
    <n v="7"/>
    <n v="77"/>
  </r>
  <r>
    <x v="250"/>
    <x v="5"/>
    <x v="1"/>
    <x v="3"/>
    <s v="Phone"/>
    <n v="7"/>
    <n v="98"/>
  </r>
  <r>
    <x v="251"/>
    <x v="4"/>
    <x v="2"/>
    <x v="3"/>
    <s v="Phone"/>
    <n v="7"/>
    <n v="98"/>
  </r>
  <r>
    <x v="252"/>
    <x v="1"/>
    <x v="1"/>
    <x v="1"/>
    <s v="Live"/>
    <n v="1"/>
    <n v="12"/>
  </r>
  <r>
    <x v="253"/>
    <x v="2"/>
    <x v="2"/>
    <x v="2"/>
    <s v="Phone"/>
    <n v="2"/>
    <n v="26"/>
  </r>
  <r>
    <x v="254"/>
    <x v="1"/>
    <x v="1"/>
    <x v="3"/>
    <s v="Website"/>
    <n v="7"/>
    <n v="98"/>
  </r>
  <r>
    <x v="255"/>
    <x v="1"/>
    <x v="3"/>
    <x v="0"/>
    <s v="Phone"/>
    <n v="2"/>
    <n v="22"/>
  </r>
  <r>
    <x v="256"/>
    <x v="5"/>
    <x v="2"/>
    <x v="2"/>
    <s v="Website"/>
    <n v="5"/>
    <n v="65"/>
  </r>
  <r>
    <x v="257"/>
    <x v="3"/>
    <x v="3"/>
    <x v="3"/>
    <s v="Live"/>
    <n v="3"/>
    <n v="42"/>
  </r>
  <r>
    <x v="258"/>
    <x v="3"/>
    <x v="3"/>
    <x v="3"/>
    <s v="Website"/>
    <n v="8"/>
    <n v="112"/>
  </r>
  <r>
    <x v="259"/>
    <x v="1"/>
    <x v="0"/>
    <x v="2"/>
    <s v="Phone"/>
    <n v="6"/>
    <n v="78"/>
  </r>
  <r>
    <x v="260"/>
    <x v="4"/>
    <x v="1"/>
    <x v="3"/>
    <s v="Phone"/>
    <n v="5"/>
    <n v="70"/>
  </r>
  <r>
    <x v="261"/>
    <x v="5"/>
    <x v="1"/>
    <x v="3"/>
    <s v="Phone"/>
    <n v="1"/>
    <n v="14"/>
  </r>
  <r>
    <x v="262"/>
    <x v="1"/>
    <x v="0"/>
    <x v="1"/>
    <s v="Website"/>
    <n v="3"/>
    <n v="36"/>
  </r>
  <r>
    <x v="263"/>
    <x v="4"/>
    <x v="3"/>
    <x v="3"/>
    <s v="Live"/>
    <n v="1"/>
    <n v="14"/>
  </r>
  <r>
    <x v="264"/>
    <x v="5"/>
    <x v="2"/>
    <x v="1"/>
    <s v="Phone"/>
    <n v="4"/>
    <n v="48"/>
  </r>
  <r>
    <x v="265"/>
    <x v="2"/>
    <x v="1"/>
    <x v="3"/>
    <s v="Phone"/>
    <n v="6"/>
    <n v="84"/>
  </r>
  <r>
    <x v="266"/>
    <x v="2"/>
    <x v="3"/>
    <x v="0"/>
    <s v="Live"/>
    <n v="1"/>
    <n v="11"/>
  </r>
  <r>
    <x v="267"/>
    <x v="1"/>
    <x v="2"/>
    <x v="3"/>
    <s v="Live"/>
    <n v="4"/>
    <n v="56"/>
  </r>
  <r>
    <x v="268"/>
    <x v="5"/>
    <x v="2"/>
    <x v="0"/>
    <s v="Website"/>
    <n v="3"/>
    <n v="33"/>
  </r>
  <r>
    <x v="269"/>
    <x v="3"/>
    <x v="1"/>
    <x v="0"/>
    <s v="Phone"/>
    <n v="8"/>
    <n v="88"/>
  </r>
  <r>
    <x v="270"/>
    <x v="1"/>
    <x v="2"/>
    <x v="2"/>
    <s v="Live"/>
    <n v="4"/>
    <n v="52"/>
  </r>
  <r>
    <x v="271"/>
    <x v="4"/>
    <x v="1"/>
    <x v="3"/>
    <s v="Website"/>
    <n v="6"/>
    <n v="84"/>
  </r>
  <r>
    <x v="272"/>
    <x v="1"/>
    <x v="2"/>
    <x v="0"/>
    <s v="Phone"/>
    <n v="6"/>
    <n v="66"/>
  </r>
  <r>
    <x v="273"/>
    <x v="5"/>
    <x v="3"/>
    <x v="0"/>
    <s v="Phone"/>
    <n v="5"/>
    <n v="55"/>
  </r>
  <r>
    <x v="274"/>
    <x v="4"/>
    <x v="0"/>
    <x v="3"/>
    <s v="Live"/>
    <n v="1"/>
    <n v="14"/>
  </r>
  <r>
    <x v="275"/>
    <x v="4"/>
    <x v="2"/>
    <x v="0"/>
    <s v="Phone"/>
    <n v="3"/>
    <n v="36"/>
  </r>
  <r>
    <x v="276"/>
    <x v="5"/>
    <x v="0"/>
    <x v="3"/>
    <s v="Website"/>
    <n v="3"/>
    <n v="45"/>
  </r>
  <r>
    <x v="277"/>
    <x v="3"/>
    <x v="3"/>
    <x v="3"/>
    <s v="Live"/>
    <n v="3"/>
    <n v="45"/>
  </r>
  <r>
    <x v="278"/>
    <x v="3"/>
    <x v="1"/>
    <x v="0"/>
    <s v="Website"/>
    <n v="5"/>
    <n v="60"/>
  </r>
  <r>
    <x v="279"/>
    <x v="2"/>
    <x v="0"/>
    <x v="0"/>
    <s v="Phone"/>
    <n v="2"/>
    <n v="24"/>
  </r>
  <r>
    <x v="280"/>
    <x v="2"/>
    <x v="0"/>
    <x v="0"/>
    <s v="Website"/>
    <n v="3"/>
    <n v="36"/>
  </r>
  <r>
    <x v="281"/>
    <x v="5"/>
    <x v="2"/>
    <x v="1"/>
    <s v="Phone"/>
    <n v="6"/>
    <n v="78"/>
  </r>
  <r>
    <x v="282"/>
    <x v="4"/>
    <x v="2"/>
    <x v="1"/>
    <s v="Website"/>
    <n v="7"/>
    <n v="91"/>
  </r>
  <r>
    <x v="283"/>
    <x v="3"/>
    <x v="2"/>
    <x v="3"/>
    <s v="Phone"/>
    <n v="2"/>
    <n v="30"/>
  </r>
  <r>
    <x v="284"/>
    <x v="2"/>
    <x v="0"/>
    <x v="3"/>
    <s v="Website"/>
    <n v="7"/>
    <n v="105"/>
  </r>
  <r>
    <x v="285"/>
    <x v="1"/>
    <x v="0"/>
    <x v="3"/>
    <s v="Live"/>
    <n v="7"/>
    <n v="105"/>
  </r>
  <r>
    <x v="286"/>
    <x v="3"/>
    <x v="2"/>
    <x v="0"/>
    <s v="Phone"/>
    <n v="1"/>
    <n v="12"/>
  </r>
  <r>
    <x v="287"/>
    <x v="2"/>
    <x v="1"/>
    <x v="0"/>
    <s v="Phone"/>
    <n v="7"/>
    <n v="84"/>
  </r>
  <r>
    <x v="288"/>
    <x v="1"/>
    <x v="2"/>
    <x v="1"/>
    <s v="Website"/>
    <n v="4"/>
    <n v="52"/>
  </r>
  <r>
    <x v="289"/>
    <x v="1"/>
    <x v="2"/>
    <x v="3"/>
    <s v="Phone"/>
    <n v="7"/>
    <n v="105"/>
  </r>
  <r>
    <x v="290"/>
    <x v="4"/>
    <x v="3"/>
    <x v="0"/>
    <s v="Phone"/>
    <n v="7"/>
    <n v="84"/>
  </r>
  <r>
    <x v="291"/>
    <x v="3"/>
    <x v="0"/>
    <x v="0"/>
    <s v="Live"/>
    <n v="4"/>
    <n v="48"/>
  </r>
  <r>
    <x v="292"/>
    <x v="3"/>
    <x v="2"/>
    <x v="1"/>
    <s v="Phone"/>
    <n v="8"/>
    <n v="104"/>
  </r>
  <r>
    <x v="293"/>
    <x v="5"/>
    <x v="1"/>
    <x v="3"/>
    <s v="Website"/>
    <n v="8"/>
    <n v="120"/>
  </r>
  <r>
    <x v="294"/>
    <x v="5"/>
    <x v="2"/>
    <x v="0"/>
    <s v="Phone"/>
    <n v="5"/>
    <n v="60"/>
  </r>
  <r>
    <x v="295"/>
    <x v="1"/>
    <x v="1"/>
    <x v="3"/>
    <s v="Website"/>
    <n v="3"/>
    <n v="45"/>
  </r>
  <r>
    <x v="296"/>
    <x v="3"/>
    <x v="0"/>
    <x v="2"/>
    <s v="Phone"/>
    <n v="2"/>
    <n v="28"/>
  </r>
  <r>
    <x v="297"/>
    <x v="4"/>
    <x v="2"/>
    <x v="3"/>
    <s v="Live"/>
    <n v="5"/>
    <n v="75"/>
  </r>
  <r>
    <x v="298"/>
    <x v="5"/>
    <x v="0"/>
    <x v="0"/>
    <s v="Phone"/>
    <n v="5"/>
    <n v="60"/>
  </r>
  <r>
    <x v="299"/>
    <x v="1"/>
    <x v="2"/>
    <x v="2"/>
    <s v="Live"/>
    <n v="7"/>
    <n v="98"/>
  </r>
  <r>
    <x v="300"/>
    <x v="2"/>
    <x v="2"/>
    <x v="0"/>
    <s v="Phone"/>
    <n v="8"/>
    <n v="96"/>
  </r>
  <r>
    <x v="301"/>
    <x v="4"/>
    <x v="1"/>
    <x v="1"/>
    <s v="Live"/>
    <n v="1"/>
    <n v="13"/>
  </r>
  <r>
    <x v="302"/>
    <x v="1"/>
    <x v="0"/>
    <x v="2"/>
    <s v="Website"/>
    <n v="5"/>
    <n v="70"/>
  </r>
  <r>
    <x v="303"/>
    <x v="4"/>
    <x v="2"/>
    <x v="3"/>
    <s v="Website"/>
    <n v="7"/>
    <n v="105"/>
  </r>
  <r>
    <x v="304"/>
    <x v="5"/>
    <x v="2"/>
    <x v="3"/>
    <s v="Live"/>
    <n v="7"/>
    <n v="105"/>
  </r>
  <r>
    <x v="305"/>
    <x v="2"/>
    <x v="2"/>
    <x v="1"/>
    <s v="Phone"/>
    <n v="4"/>
    <n v="52"/>
  </r>
  <r>
    <x v="306"/>
    <x v="3"/>
    <x v="3"/>
    <x v="3"/>
    <s v="Website"/>
    <n v="3"/>
    <n v="45"/>
  </r>
  <r>
    <x v="307"/>
    <x v="5"/>
    <x v="0"/>
    <x v="1"/>
    <s v="Phone"/>
    <n v="1"/>
    <n v="13"/>
  </r>
  <r>
    <x v="308"/>
    <x v="5"/>
    <x v="1"/>
    <x v="2"/>
    <s v="Live"/>
    <n v="5"/>
    <n v="70"/>
  </r>
  <r>
    <x v="309"/>
    <x v="1"/>
    <x v="3"/>
    <x v="1"/>
    <s v="Phone"/>
    <n v="1"/>
    <n v="13"/>
  </r>
  <r>
    <x v="310"/>
    <x v="3"/>
    <x v="2"/>
    <x v="0"/>
    <s v="Phone"/>
    <n v="5"/>
    <n v="60"/>
  </r>
  <r>
    <x v="311"/>
    <x v="4"/>
    <x v="1"/>
    <x v="1"/>
    <s v="Live"/>
    <n v="5"/>
    <n v="65"/>
  </r>
  <r>
    <x v="312"/>
    <x v="5"/>
    <x v="0"/>
    <x v="1"/>
    <s v="Website"/>
    <n v="2"/>
    <n v="26"/>
  </r>
  <r>
    <x v="313"/>
    <x v="1"/>
    <x v="0"/>
    <x v="2"/>
    <s v="Website"/>
    <n v="7"/>
    <n v="98"/>
  </r>
  <r>
    <x v="314"/>
    <x v="4"/>
    <x v="2"/>
    <x v="3"/>
    <s v="Website"/>
    <n v="8"/>
    <n v="120"/>
  </r>
  <r>
    <x v="315"/>
    <x v="2"/>
    <x v="0"/>
    <x v="3"/>
    <s v="Phone"/>
    <n v="4"/>
    <n v="60"/>
  </r>
  <r>
    <x v="316"/>
    <x v="3"/>
    <x v="2"/>
    <x v="3"/>
    <s v="Phone"/>
    <n v="4"/>
    <n v="60"/>
  </r>
  <r>
    <x v="317"/>
    <x v="3"/>
    <x v="1"/>
    <x v="3"/>
    <s v="Phone"/>
    <n v="7"/>
    <n v="105"/>
  </r>
  <r>
    <x v="318"/>
    <x v="1"/>
    <x v="2"/>
    <x v="0"/>
    <s v="Phone"/>
    <n v="2"/>
    <n v="24"/>
  </r>
  <r>
    <x v="319"/>
    <x v="5"/>
    <x v="0"/>
    <x v="1"/>
    <s v="Phone"/>
    <n v="3"/>
    <n v="39"/>
  </r>
  <r>
    <x v="320"/>
    <x v="4"/>
    <x v="0"/>
    <x v="1"/>
    <s v="Website"/>
    <n v="5"/>
    <n v="65"/>
  </r>
  <r>
    <x v="321"/>
    <x v="3"/>
    <x v="1"/>
    <x v="0"/>
    <s v="Live"/>
    <n v="1"/>
    <n v="12"/>
  </r>
  <r>
    <x v="322"/>
    <x v="1"/>
    <x v="2"/>
    <x v="0"/>
    <s v="Phone"/>
    <n v="4"/>
    <n v="48"/>
  </r>
  <r>
    <x v="323"/>
    <x v="5"/>
    <x v="2"/>
    <x v="0"/>
    <s v="Live"/>
    <n v="7"/>
    <n v="84"/>
  </r>
  <r>
    <x v="324"/>
    <x v="2"/>
    <x v="2"/>
    <x v="0"/>
    <s v="Phone"/>
    <n v="7"/>
    <n v="84"/>
  </r>
  <r>
    <x v="325"/>
    <x v="3"/>
    <x v="3"/>
    <x v="3"/>
    <s v="Website"/>
    <n v="3"/>
    <n v="45"/>
  </r>
  <r>
    <x v="326"/>
    <x v="1"/>
    <x v="0"/>
    <x v="2"/>
    <s v="Phone"/>
    <n v="4"/>
    <n v="56"/>
  </r>
  <r>
    <x v="327"/>
    <x v="1"/>
    <x v="0"/>
    <x v="2"/>
    <s v="Live"/>
    <n v="7"/>
    <n v="98"/>
  </r>
  <r>
    <x v="328"/>
    <x v="3"/>
    <x v="0"/>
    <x v="3"/>
    <s v="Website"/>
    <n v="5"/>
    <n v="75"/>
  </r>
  <r>
    <x v="329"/>
    <x v="4"/>
    <x v="0"/>
    <x v="0"/>
    <s v="Live"/>
    <n v="3"/>
    <n v="36"/>
  </r>
  <r>
    <x v="330"/>
    <x v="5"/>
    <x v="1"/>
    <x v="0"/>
    <s v="Live"/>
    <n v="5"/>
    <n v="60"/>
  </r>
  <r>
    <x v="331"/>
    <x v="1"/>
    <x v="1"/>
    <x v="3"/>
    <s v="Website"/>
    <n v="5"/>
    <n v="75"/>
  </r>
  <r>
    <x v="332"/>
    <x v="2"/>
    <x v="2"/>
    <x v="3"/>
    <s v="Phone"/>
    <n v="7"/>
    <n v="105"/>
  </r>
  <r>
    <x v="333"/>
    <x v="1"/>
    <x v="2"/>
    <x v="3"/>
    <s v="Live"/>
    <n v="8"/>
    <n v="120"/>
  </r>
  <r>
    <x v="334"/>
    <x v="4"/>
    <x v="2"/>
    <x v="0"/>
    <s v="Phone"/>
    <n v="4"/>
    <n v="48"/>
  </r>
  <r>
    <x v="335"/>
    <x v="3"/>
    <x v="0"/>
    <x v="0"/>
    <s v="Website"/>
    <n v="6"/>
    <n v="72"/>
  </r>
  <r>
    <x v="336"/>
    <x v="2"/>
    <x v="2"/>
    <x v="3"/>
    <s v="Live"/>
    <n v="3"/>
    <n v="45"/>
  </r>
  <r>
    <x v="337"/>
    <x v="5"/>
    <x v="0"/>
    <x v="1"/>
    <s v="Website"/>
    <n v="4"/>
    <n v="52"/>
  </r>
  <r>
    <x v="338"/>
    <x v="5"/>
    <x v="3"/>
    <x v="2"/>
    <s v="Phone"/>
    <n v="5"/>
    <n v="70"/>
  </r>
  <r>
    <x v="339"/>
    <x v="1"/>
    <x v="2"/>
    <x v="3"/>
    <s v="Website"/>
    <n v="2"/>
    <n v="30"/>
  </r>
  <r>
    <x v="340"/>
    <x v="3"/>
    <x v="1"/>
    <x v="3"/>
    <s v="Phone"/>
    <n v="2"/>
    <n v="30"/>
  </r>
  <r>
    <x v="341"/>
    <x v="2"/>
    <x v="1"/>
    <x v="3"/>
    <s v="Website"/>
    <n v="1"/>
    <n v="15"/>
  </r>
  <r>
    <x v="342"/>
    <x v="1"/>
    <x v="1"/>
    <x v="1"/>
    <s v="Live"/>
    <n v="8"/>
    <n v="104"/>
  </r>
  <r>
    <x v="343"/>
    <x v="3"/>
    <x v="0"/>
    <x v="2"/>
    <s v="Live"/>
    <n v="1"/>
    <n v="14"/>
  </r>
  <r>
    <x v="344"/>
    <x v="3"/>
    <x v="0"/>
    <x v="3"/>
    <s v="Phone"/>
    <n v="7"/>
    <n v="105"/>
  </r>
  <r>
    <x v="345"/>
    <x v="1"/>
    <x v="2"/>
    <x v="3"/>
    <s v="Website"/>
    <n v="4"/>
    <n v="60"/>
  </r>
  <r>
    <x v="346"/>
    <x v="3"/>
    <x v="0"/>
    <x v="0"/>
    <s v="Phone"/>
    <n v="3"/>
    <n v="36"/>
  </r>
  <r>
    <x v="347"/>
    <x v="5"/>
    <x v="1"/>
    <x v="1"/>
    <s v="Live"/>
    <n v="2"/>
    <n v="26"/>
  </r>
  <r>
    <x v="348"/>
    <x v="3"/>
    <x v="3"/>
    <x v="3"/>
    <s v="Website"/>
    <n v="6"/>
    <n v="90"/>
  </r>
  <r>
    <x v="349"/>
    <x v="1"/>
    <x v="0"/>
    <x v="2"/>
    <s v="Website"/>
    <n v="5"/>
    <n v="70"/>
  </r>
  <r>
    <x v="350"/>
    <x v="1"/>
    <x v="0"/>
    <x v="3"/>
    <s v="Phone"/>
    <n v="7"/>
    <n v="105"/>
  </r>
  <r>
    <x v="351"/>
    <x v="1"/>
    <x v="3"/>
    <x v="2"/>
    <s v="Phone"/>
    <n v="7"/>
    <n v="98"/>
  </r>
  <r>
    <x v="352"/>
    <x v="4"/>
    <x v="2"/>
    <x v="2"/>
    <s v="Website"/>
    <n v="1"/>
    <n v="14"/>
  </r>
  <r>
    <x v="353"/>
    <x v="1"/>
    <x v="2"/>
    <x v="1"/>
    <s v="Website"/>
    <n v="2"/>
    <n v="26"/>
  </r>
  <r>
    <x v="354"/>
    <x v="5"/>
    <x v="0"/>
    <x v="2"/>
    <s v="Website"/>
    <n v="3"/>
    <n v="42"/>
  </r>
  <r>
    <x v="355"/>
    <x v="1"/>
    <x v="0"/>
    <x v="3"/>
    <s v="Phone"/>
    <n v="7"/>
    <n v="105"/>
  </r>
  <r>
    <x v="356"/>
    <x v="4"/>
    <x v="0"/>
    <x v="2"/>
    <s v="Website"/>
    <n v="7"/>
    <n v="98"/>
  </r>
  <r>
    <x v="357"/>
    <x v="1"/>
    <x v="2"/>
    <x v="2"/>
    <s v="Website"/>
    <n v="3"/>
    <n v="42"/>
  </r>
  <r>
    <x v="358"/>
    <x v="2"/>
    <x v="2"/>
    <x v="1"/>
    <s v="Live"/>
    <n v="5"/>
    <n v="65"/>
  </r>
  <r>
    <x v="359"/>
    <x v="1"/>
    <x v="3"/>
    <x v="2"/>
    <s v="Website"/>
    <n v="3"/>
    <n v="42"/>
  </r>
  <r>
    <x v="360"/>
    <x v="4"/>
    <x v="3"/>
    <x v="1"/>
    <s v="Phone"/>
    <n v="4"/>
    <n v="52"/>
  </r>
  <r>
    <x v="361"/>
    <x v="1"/>
    <x v="0"/>
    <x v="3"/>
    <s v="Live"/>
    <n v="1"/>
    <n v="15"/>
  </r>
  <r>
    <x v="362"/>
    <x v="1"/>
    <x v="0"/>
    <x v="3"/>
    <s v="Phone"/>
    <n v="8"/>
    <n v="120"/>
  </r>
  <r>
    <x v="363"/>
    <x v="5"/>
    <x v="2"/>
    <x v="0"/>
    <s v="Website"/>
    <n v="7"/>
    <n v="84"/>
  </r>
  <r>
    <x v="364"/>
    <x v="5"/>
    <x v="2"/>
    <x v="0"/>
    <s v="Live"/>
    <n v="4"/>
    <n v="48"/>
  </r>
  <r>
    <x v="365"/>
    <x v="5"/>
    <x v="2"/>
    <x v="3"/>
    <s v="Website"/>
    <n v="7"/>
    <n v="105"/>
  </r>
  <r>
    <x v="366"/>
    <x v="1"/>
    <x v="2"/>
    <x v="1"/>
    <s v="Website"/>
    <n v="8"/>
    <n v="104"/>
  </r>
  <r>
    <x v="367"/>
    <x v="4"/>
    <x v="0"/>
    <x v="1"/>
    <s v="Live"/>
    <n v="8"/>
    <n v="104"/>
  </r>
  <r>
    <x v="368"/>
    <x v="3"/>
    <x v="2"/>
    <x v="3"/>
    <s v="Website"/>
    <n v="6"/>
    <n v="90"/>
  </r>
  <r>
    <x v="369"/>
    <x v="5"/>
    <x v="0"/>
    <x v="3"/>
    <s v="Live"/>
    <n v="5"/>
    <n v="75"/>
  </r>
  <r>
    <x v="370"/>
    <x v="4"/>
    <x v="0"/>
    <x v="1"/>
    <s v="Live"/>
    <n v="4"/>
    <n v="52"/>
  </r>
  <r>
    <x v="371"/>
    <x v="2"/>
    <x v="2"/>
    <x v="2"/>
    <s v="Live"/>
    <n v="7"/>
    <n v="98"/>
  </r>
  <r>
    <x v="372"/>
    <x v="4"/>
    <x v="0"/>
    <x v="2"/>
    <s v="Website"/>
    <n v="8"/>
    <n v="112"/>
  </r>
  <r>
    <x v="373"/>
    <x v="4"/>
    <x v="1"/>
    <x v="2"/>
    <s v="Live"/>
    <n v="8"/>
    <n v="112"/>
  </r>
  <r>
    <x v="374"/>
    <x v="2"/>
    <x v="2"/>
    <x v="1"/>
    <s v="Phone"/>
    <n v="2"/>
    <n v="26"/>
  </r>
  <r>
    <x v="375"/>
    <x v="2"/>
    <x v="1"/>
    <x v="0"/>
    <s v="Phone"/>
    <n v="1"/>
    <n v="12"/>
  </r>
  <r>
    <x v="376"/>
    <x v="5"/>
    <x v="2"/>
    <x v="1"/>
    <s v="Website"/>
    <n v="6"/>
    <n v="78"/>
  </r>
  <r>
    <x v="377"/>
    <x v="4"/>
    <x v="0"/>
    <x v="3"/>
    <s v="Website"/>
    <n v="1"/>
    <n v="15"/>
  </r>
  <r>
    <x v="378"/>
    <x v="1"/>
    <x v="0"/>
    <x v="3"/>
    <s v="Live"/>
    <n v="6"/>
    <n v="90"/>
  </r>
  <r>
    <x v="379"/>
    <x v="1"/>
    <x v="3"/>
    <x v="1"/>
    <s v="Live"/>
    <n v="4"/>
    <n v="52"/>
  </r>
  <r>
    <x v="380"/>
    <x v="1"/>
    <x v="0"/>
    <x v="2"/>
    <s v="Phone"/>
    <n v="8"/>
    <n v="112"/>
  </r>
  <r>
    <x v="381"/>
    <x v="4"/>
    <x v="1"/>
    <x v="0"/>
    <s v="Website"/>
    <n v="6"/>
    <n v="72"/>
  </r>
  <r>
    <x v="382"/>
    <x v="3"/>
    <x v="1"/>
    <x v="3"/>
    <s v="Live"/>
    <n v="3"/>
    <n v="45"/>
  </r>
  <r>
    <x v="383"/>
    <x v="2"/>
    <x v="2"/>
    <x v="2"/>
    <s v="Website"/>
    <n v="1"/>
    <n v="14"/>
  </r>
  <r>
    <x v="384"/>
    <x v="2"/>
    <x v="3"/>
    <x v="3"/>
    <s v="Phone"/>
    <n v="3"/>
    <n v="45"/>
  </r>
  <r>
    <x v="385"/>
    <x v="5"/>
    <x v="0"/>
    <x v="1"/>
    <s v="Live"/>
    <n v="3"/>
    <n v="39"/>
  </r>
  <r>
    <x v="386"/>
    <x v="5"/>
    <x v="0"/>
    <x v="3"/>
    <s v="Website"/>
    <n v="4"/>
    <n v="60"/>
  </r>
  <r>
    <x v="387"/>
    <x v="5"/>
    <x v="2"/>
    <x v="2"/>
    <s v="Live"/>
    <n v="7"/>
    <n v="98"/>
  </r>
  <r>
    <x v="388"/>
    <x v="1"/>
    <x v="2"/>
    <x v="3"/>
    <s v="Phone"/>
    <n v="8"/>
    <n v="120"/>
  </r>
  <r>
    <x v="389"/>
    <x v="3"/>
    <x v="0"/>
    <x v="0"/>
    <s v="Live"/>
    <n v="2"/>
    <n v="24"/>
  </r>
  <r>
    <x v="390"/>
    <x v="2"/>
    <x v="0"/>
    <x v="3"/>
    <s v="Phone"/>
    <n v="2"/>
    <n v="30"/>
  </r>
  <r>
    <x v="391"/>
    <x v="4"/>
    <x v="0"/>
    <x v="1"/>
    <s v="Website"/>
    <n v="7"/>
    <n v="91"/>
  </r>
  <r>
    <x v="392"/>
    <x v="2"/>
    <x v="2"/>
    <x v="3"/>
    <s v="Phone"/>
    <n v="6"/>
    <n v="90"/>
  </r>
  <r>
    <x v="393"/>
    <x v="2"/>
    <x v="3"/>
    <x v="0"/>
    <s v="Website"/>
    <n v="8"/>
    <n v="96"/>
  </r>
  <r>
    <x v="394"/>
    <x v="3"/>
    <x v="2"/>
    <x v="2"/>
    <s v="Live"/>
    <n v="6"/>
    <n v="84"/>
  </r>
  <r>
    <x v="395"/>
    <x v="3"/>
    <x v="2"/>
    <x v="3"/>
    <s v="Phone"/>
    <n v="8"/>
    <n v="120"/>
  </r>
  <r>
    <x v="396"/>
    <x v="1"/>
    <x v="1"/>
    <x v="2"/>
    <s v="Phone"/>
    <n v="1"/>
    <n v="14"/>
  </r>
  <r>
    <x v="397"/>
    <x v="1"/>
    <x v="0"/>
    <x v="3"/>
    <s v="Live"/>
    <n v="7"/>
    <n v="105"/>
  </r>
  <r>
    <x v="398"/>
    <x v="1"/>
    <x v="0"/>
    <x v="1"/>
    <s v="Website"/>
    <n v="5"/>
    <n v="65"/>
  </r>
  <r>
    <x v="399"/>
    <x v="4"/>
    <x v="1"/>
    <x v="3"/>
    <s v="Website"/>
    <n v="1"/>
    <n v="15"/>
  </r>
  <r>
    <x v="400"/>
    <x v="1"/>
    <x v="2"/>
    <x v="3"/>
    <s v="Live"/>
    <n v="8"/>
    <n v="120"/>
  </r>
  <r>
    <x v="401"/>
    <x v="1"/>
    <x v="3"/>
    <x v="1"/>
    <s v="Phone"/>
    <n v="6"/>
    <n v="78"/>
  </r>
  <r>
    <x v="402"/>
    <x v="5"/>
    <x v="0"/>
    <x v="3"/>
    <s v="Website"/>
    <n v="6"/>
    <n v="90"/>
  </r>
  <r>
    <x v="403"/>
    <x v="1"/>
    <x v="0"/>
    <x v="2"/>
    <s v="Live"/>
    <n v="5"/>
    <n v="70"/>
  </r>
  <r>
    <x v="404"/>
    <x v="3"/>
    <x v="0"/>
    <x v="3"/>
    <s v="Phone"/>
    <n v="5"/>
    <n v="75"/>
  </r>
  <r>
    <x v="405"/>
    <x v="3"/>
    <x v="2"/>
    <x v="2"/>
    <s v="Live"/>
    <n v="1"/>
    <n v="14"/>
  </r>
  <r>
    <x v="406"/>
    <x v="5"/>
    <x v="0"/>
    <x v="1"/>
    <s v="Website"/>
    <n v="7"/>
    <n v="91"/>
  </r>
  <r>
    <x v="407"/>
    <x v="2"/>
    <x v="0"/>
    <x v="2"/>
    <s v="Live"/>
    <n v="5"/>
    <n v="70"/>
  </r>
  <r>
    <x v="408"/>
    <x v="5"/>
    <x v="0"/>
    <x v="1"/>
    <s v="Phone"/>
    <n v="5"/>
    <n v="65"/>
  </r>
  <r>
    <x v="409"/>
    <x v="4"/>
    <x v="2"/>
    <x v="0"/>
    <s v="Website"/>
    <n v="5"/>
    <n v="60"/>
  </r>
  <r>
    <x v="410"/>
    <x v="1"/>
    <x v="1"/>
    <x v="3"/>
    <s v="Phone"/>
    <n v="4"/>
    <n v="60"/>
  </r>
  <r>
    <x v="411"/>
    <x v="4"/>
    <x v="0"/>
    <x v="0"/>
    <s v="Phone"/>
    <n v="6"/>
    <n v="72"/>
  </r>
  <r>
    <x v="412"/>
    <x v="1"/>
    <x v="1"/>
    <x v="2"/>
    <s v="Live"/>
    <n v="5"/>
    <n v="70"/>
  </r>
  <r>
    <x v="413"/>
    <x v="1"/>
    <x v="0"/>
    <x v="3"/>
    <s v="Phone"/>
    <n v="8"/>
    <n v="120"/>
  </r>
  <r>
    <x v="414"/>
    <x v="1"/>
    <x v="0"/>
    <x v="3"/>
    <s v="Website"/>
    <n v="5"/>
    <n v="75"/>
  </r>
  <r>
    <x v="415"/>
    <x v="2"/>
    <x v="0"/>
    <x v="2"/>
    <s v="Website"/>
    <n v="8"/>
    <n v="112"/>
  </r>
  <r>
    <x v="416"/>
    <x v="5"/>
    <x v="2"/>
    <x v="0"/>
    <s v="Live"/>
    <n v="3"/>
    <n v="36"/>
  </r>
  <r>
    <x v="417"/>
    <x v="1"/>
    <x v="3"/>
    <x v="1"/>
    <s v="Phone"/>
    <n v="2"/>
    <n v="26"/>
  </r>
  <r>
    <x v="418"/>
    <x v="1"/>
    <x v="2"/>
    <x v="3"/>
    <s v="Live"/>
    <n v="3"/>
    <n v="45"/>
  </r>
  <r>
    <x v="419"/>
    <x v="4"/>
    <x v="2"/>
    <x v="0"/>
    <s v="Phone"/>
    <n v="3"/>
    <n v="36"/>
  </r>
  <r>
    <x v="420"/>
    <x v="1"/>
    <x v="2"/>
    <x v="3"/>
    <s v="Website"/>
    <n v="8"/>
    <n v="120"/>
  </r>
  <r>
    <x v="421"/>
    <x v="4"/>
    <x v="0"/>
    <x v="3"/>
    <s v="Website"/>
    <n v="2"/>
    <n v="30"/>
  </r>
  <r>
    <x v="422"/>
    <x v="3"/>
    <x v="2"/>
    <x v="3"/>
    <s v="Live"/>
    <n v="7"/>
    <n v="105"/>
  </r>
  <r>
    <x v="423"/>
    <x v="1"/>
    <x v="0"/>
    <x v="3"/>
    <s v="Phone"/>
    <n v="4"/>
    <n v="60"/>
  </r>
  <r>
    <x v="424"/>
    <x v="1"/>
    <x v="3"/>
    <x v="0"/>
    <s v="Live"/>
    <n v="1"/>
    <n v="12"/>
  </r>
  <r>
    <x v="425"/>
    <x v="5"/>
    <x v="2"/>
    <x v="3"/>
    <s v="Phone"/>
    <n v="3"/>
    <n v="45"/>
  </r>
  <r>
    <x v="426"/>
    <x v="1"/>
    <x v="0"/>
    <x v="3"/>
    <s v="Phone"/>
    <n v="7"/>
    <n v="105"/>
  </r>
  <r>
    <x v="427"/>
    <x v="2"/>
    <x v="3"/>
    <x v="0"/>
    <s v="Website"/>
    <n v="2"/>
    <n v="24"/>
  </r>
  <r>
    <x v="428"/>
    <x v="1"/>
    <x v="2"/>
    <x v="0"/>
    <s v="Live"/>
    <n v="3"/>
    <n v="36"/>
  </r>
  <r>
    <x v="429"/>
    <x v="5"/>
    <x v="2"/>
    <x v="2"/>
    <s v="Phone"/>
    <n v="7"/>
    <n v="98"/>
  </r>
  <r>
    <x v="430"/>
    <x v="4"/>
    <x v="2"/>
    <x v="3"/>
    <s v="Live"/>
    <n v="7"/>
    <n v="105"/>
  </r>
  <r>
    <x v="431"/>
    <x v="1"/>
    <x v="0"/>
    <x v="2"/>
    <s v="Website"/>
    <n v="4"/>
    <n v="56"/>
  </r>
  <r>
    <x v="432"/>
    <x v="3"/>
    <x v="2"/>
    <x v="1"/>
    <s v="Website"/>
    <n v="6"/>
    <n v="78"/>
  </r>
  <r>
    <x v="433"/>
    <x v="3"/>
    <x v="0"/>
    <x v="1"/>
    <s v="Phone"/>
    <n v="1"/>
    <n v="13"/>
  </r>
  <r>
    <x v="434"/>
    <x v="2"/>
    <x v="3"/>
    <x v="0"/>
    <s v="Live"/>
    <n v="3"/>
    <n v="36"/>
  </r>
  <r>
    <x v="435"/>
    <x v="5"/>
    <x v="2"/>
    <x v="1"/>
    <s v="Phone"/>
    <n v="1"/>
    <n v="13"/>
  </r>
  <r>
    <x v="436"/>
    <x v="1"/>
    <x v="2"/>
    <x v="3"/>
    <s v="Website"/>
    <n v="7"/>
    <n v="105"/>
  </r>
  <r>
    <x v="437"/>
    <x v="1"/>
    <x v="2"/>
    <x v="1"/>
    <s v="Phone"/>
    <n v="7"/>
    <n v="91"/>
  </r>
  <r>
    <x v="438"/>
    <x v="1"/>
    <x v="0"/>
    <x v="3"/>
    <s v="Live"/>
    <n v="3"/>
    <n v="45"/>
  </r>
  <r>
    <x v="439"/>
    <x v="4"/>
    <x v="0"/>
    <x v="2"/>
    <s v="Live"/>
    <n v="1"/>
    <n v="14"/>
  </r>
  <r>
    <x v="440"/>
    <x v="1"/>
    <x v="1"/>
    <x v="1"/>
    <s v="Live"/>
    <n v="8"/>
    <n v="104"/>
  </r>
  <r>
    <x v="441"/>
    <x v="3"/>
    <x v="2"/>
    <x v="0"/>
    <s v="Phone"/>
    <n v="2"/>
    <n v="24"/>
  </r>
  <r>
    <x v="442"/>
    <x v="5"/>
    <x v="0"/>
    <x v="2"/>
    <s v="Website"/>
    <n v="7"/>
    <n v="98"/>
  </r>
  <r>
    <x v="443"/>
    <x v="4"/>
    <x v="1"/>
    <x v="0"/>
    <s v="Live"/>
    <n v="1"/>
    <n v="12"/>
  </r>
  <r>
    <x v="444"/>
    <x v="4"/>
    <x v="3"/>
    <x v="3"/>
    <s v="Phone"/>
    <n v="7"/>
    <n v="105"/>
  </r>
  <r>
    <x v="445"/>
    <x v="2"/>
    <x v="0"/>
    <x v="3"/>
    <s v="Live"/>
    <n v="6"/>
    <n v="90"/>
  </r>
  <r>
    <x v="446"/>
    <x v="2"/>
    <x v="2"/>
    <x v="3"/>
    <s v="Phone"/>
    <n v="7"/>
    <n v="105"/>
  </r>
  <r>
    <x v="447"/>
    <x v="3"/>
    <x v="2"/>
    <x v="3"/>
    <s v="Phone"/>
    <n v="4"/>
    <n v="60"/>
  </r>
  <r>
    <x v="448"/>
    <x v="4"/>
    <x v="1"/>
    <x v="3"/>
    <s v="Live"/>
    <n v="3"/>
    <n v="45"/>
  </r>
  <r>
    <x v="449"/>
    <x v="5"/>
    <x v="1"/>
    <x v="3"/>
    <s v="Phone"/>
    <n v="6"/>
    <n v="90"/>
  </r>
  <r>
    <x v="450"/>
    <x v="4"/>
    <x v="2"/>
    <x v="0"/>
    <s v="Live"/>
    <n v="8"/>
    <n v="96"/>
  </r>
  <r>
    <x v="451"/>
    <x v="5"/>
    <x v="1"/>
    <x v="1"/>
    <s v="Phone"/>
    <n v="6"/>
    <n v="1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2">
  <r>
    <x v="0"/>
    <x v="0"/>
    <x v="0"/>
    <s v="Red"/>
    <s v="Phone"/>
    <n v="1"/>
    <x v="0"/>
    <x v="0"/>
    <s v="No commission"/>
    <s v="sales.MONIQUE@email.com"/>
  </r>
  <r>
    <x v="1"/>
    <x v="1"/>
    <x v="1"/>
    <s v="Blue"/>
    <s v="Website"/>
    <n v="8"/>
    <x v="1"/>
    <x v="0"/>
    <n v="4.8000000000000007"/>
    <s v="sales.PETE@email.com"/>
  </r>
  <r>
    <x v="2"/>
    <x v="2"/>
    <x v="0"/>
    <s v="Green"/>
    <s v="Live"/>
    <n v="2"/>
    <x v="2"/>
    <x v="0"/>
    <s v="No commission"/>
    <s v="sales.LAUREN@email.com"/>
  </r>
  <r>
    <x v="3"/>
    <x v="3"/>
    <x v="2"/>
    <s v="Blue"/>
    <s v="Website"/>
    <n v="7"/>
    <x v="3"/>
    <x v="0"/>
    <n v="4.2"/>
    <s v="sales.HARRY@email.com"/>
  </r>
  <r>
    <x v="4"/>
    <x v="4"/>
    <x v="2"/>
    <s v="Green"/>
    <s v="Live"/>
    <n v="8"/>
    <x v="4"/>
    <x v="0"/>
    <n v="5.2"/>
    <s v="sales.MARIO@email.com"/>
  </r>
  <r>
    <x v="5"/>
    <x v="1"/>
    <x v="1"/>
    <s v="Red"/>
    <s v="Website"/>
    <n v="2"/>
    <x v="5"/>
    <x v="0"/>
    <s v="No commission"/>
    <s v="sales.PETE@email.com"/>
  </r>
  <r>
    <x v="6"/>
    <x v="1"/>
    <x v="3"/>
    <s v="Blue"/>
    <s v="Phone"/>
    <n v="5"/>
    <x v="6"/>
    <x v="0"/>
    <s v="No commission"/>
    <s v="sales.PETE@email.com"/>
  </r>
  <r>
    <x v="7"/>
    <x v="5"/>
    <x v="0"/>
    <s v="Green"/>
    <s v="Live"/>
    <n v="2"/>
    <x v="2"/>
    <x v="0"/>
    <s v="No commission"/>
    <s v="sales.EDGAR@email.com"/>
  </r>
  <r>
    <x v="8"/>
    <x v="2"/>
    <x v="3"/>
    <s v="Blue"/>
    <s v="Phone"/>
    <n v="8"/>
    <x v="1"/>
    <x v="0"/>
    <n v="4.8000000000000007"/>
    <s v="sales.LAUREN@email.com"/>
  </r>
  <r>
    <x v="9"/>
    <x v="1"/>
    <x v="2"/>
    <s v="Blue"/>
    <s v="Live"/>
    <n v="7"/>
    <x v="3"/>
    <x v="0"/>
    <n v="4.2"/>
    <s v="sales.PETE@email.com"/>
  </r>
  <r>
    <x v="10"/>
    <x v="4"/>
    <x v="0"/>
    <s v="Green"/>
    <s v="Phone"/>
    <n v="2"/>
    <x v="2"/>
    <x v="0"/>
    <s v="No commission"/>
    <s v="sales.MARIO@email.com"/>
  </r>
  <r>
    <x v="11"/>
    <x v="3"/>
    <x v="1"/>
    <s v="Blue"/>
    <s v="Live"/>
    <n v="8"/>
    <x v="1"/>
    <x v="0"/>
    <n v="4.8000000000000007"/>
    <s v="sales.HARRY@email.com"/>
  </r>
  <r>
    <x v="12"/>
    <x v="5"/>
    <x v="1"/>
    <s v="Green"/>
    <s v="Live"/>
    <n v="1"/>
    <x v="7"/>
    <x v="0"/>
    <s v="No commission"/>
    <s v="sales.EDGAR@email.com"/>
  </r>
  <r>
    <x v="13"/>
    <x v="4"/>
    <x v="3"/>
    <s v="Red"/>
    <s v="Phone"/>
    <n v="8"/>
    <x v="8"/>
    <x v="0"/>
    <n v="4.4000000000000004"/>
    <s v="sales.MARIO@email.com"/>
  </r>
  <r>
    <x v="14"/>
    <x v="2"/>
    <x v="0"/>
    <s v="Red"/>
    <s v="Live"/>
    <n v="6"/>
    <x v="9"/>
    <x v="0"/>
    <s v="No commission"/>
    <s v="sales.LAUREN@email.com"/>
  </r>
  <r>
    <x v="15"/>
    <x v="5"/>
    <x v="1"/>
    <s v="Green"/>
    <s v="Live"/>
    <n v="5"/>
    <x v="10"/>
    <x v="0"/>
    <s v="No commission"/>
    <s v="sales.EDGAR@email.com"/>
  </r>
  <r>
    <x v="16"/>
    <x v="4"/>
    <x v="1"/>
    <s v="Blue"/>
    <s v="Live"/>
    <n v="7"/>
    <x v="3"/>
    <x v="0"/>
    <n v="4.2"/>
    <s v="sales.MARIO@email.com"/>
  </r>
  <r>
    <x v="17"/>
    <x v="3"/>
    <x v="1"/>
    <s v="Red"/>
    <s v="Website"/>
    <n v="5"/>
    <x v="11"/>
    <x v="0"/>
    <s v="No commission"/>
    <s v="sales.HARRY@email.com"/>
  </r>
  <r>
    <x v="18"/>
    <x v="5"/>
    <x v="1"/>
    <s v="Blue"/>
    <s v="Phone"/>
    <n v="1"/>
    <x v="12"/>
    <x v="0"/>
    <s v="No commission"/>
    <s v="sales.EDGAR@email.com"/>
  </r>
  <r>
    <x v="19"/>
    <x v="0"/>
    <x v="2"/>
    <s v="Blue"/>
    <s v="Live"/>
    <n v="4"/>
    <x v="13"/>
    <x v="0"/>
    <s v="No commission"/>
    <s v="sales.MONIQUE@email.com"/>
  </r>
  <r>
    <x v="20"/>
    <x v="1"/>
    <x v="2"/>
    <s v="Blue"/>
    <s v="Phone"/>
    <n v="7"/>
    <x v="3"/>
    <x v="0"/>
    <n v="4.2"/>
    <s v="sales.PETE@email.com"/>
  </r>
  <r>
    <x v="21"/>
    <x v="2"/>
    <x v="3"/>
    <s v="Red"/>
    <s v="Website"/>
    <n v="3"/>
    <x v="14"/>
    <x v="0"/>
    <s v="No commission"/>
    <s v="sales.LAUREN@email.com"/>
  </r>
  <r>
    <x v="22"/>
    <x v="0"/>
    <x v="1"/>
    <s v="Blue"/>
    <s v="Phone"/>
    <n v="2"/>
    <x v="15"/>
    <x v="0"/>
    <s v="No commission"/>
    <s v="sales.MONIQUE@email.com"/>
  </r>
  <r>
    <x v="23"/>
    <x v="2"/>
    <x v="1"/>
    <s v="Blue"/>
    <s v="Live"/>
    <n v="6"/>
    <x v="16"/>
    <x v="0"/>
    <n v="3.6"/>
    <s v="sales.LAUREN@email.com"/>
  </r>
  <r>
    <x v="24"/>
    <x v="4"/>
    <x v="3"/>
    <s v="Red"/>
    <s v="Phone"/>
    <n v="6"/>
    <x v="9"/>
    <x v="0"/>
    <s v="No commission"/>
    <s v="sales.MARIO@email.com"/>
  </r>
  <r>
    <x v="25"/>
    <x v="1"/>
    <x v="0"/>
    <s v="Green"/>
    <s v="Live"/>
    <n v="2"/>
    <x v="2"/>
    <x v="0"/>
    <s v="No commission"/>
    <s v="sales.PETE@email.com"/>
  </r>
  <r>
    <x v="26"/>
    <x v="0"/>
    <x v="1"/>
    <s v="Blue"/>
    <s v="Phone"/>
    <n v="4"/>
    <x v="13"/>
    <x v="0"/>
    <s v="No commission"/>
    <s v="sales.MONIQUE@email.com"/>
  </r>
  <r>
    <x v="27"/>
    <x v="5"/>
    <x v="1"/>
    <s v="Green"/>
    <s v="Phone"/>
    <n v="1"/>
    <x v="7"/>
    <x v="0"/>
    <s v="No commission"/>
    <s v="sales.EDGAR@email.com"/>
  </r>
  <r>
    <x v="28"/>
    <x v="4"/>
    <x v="0"/>
    <s v="Blue"/>
    <s v="Live"/>
    <n v="1"/>
    <x v="12"/>
    <x v="0"/>
    <s v="No commission"/>
    <s v="sales.MARIO@email.com"/>
  </r>
  <r>
    <x v="29"/>
    <x v="5"/>
    <x v="1"/>
    <s v="Red"/>
    <s v="Live"/>
    <n v="2"/>
    <x v="5"/>
    <x v="0"/>
    <s v="No commission"/>
    <s v="sales.EDGAR@email.com"/>
  </r>
  <r>
    <x v="30"/>
    <x v="0"/>
    <x v="0"/>
    <s v="Green"/>
    <s v="Live"/>
    <n v="5"/>
    <x v="10"/>
    <x v="0"/>
    <s v="No commission"/>
    <s v="sales.MONIQUE@email.com"/>
  </r>
  <r>
    <x v="31"/>
    <x v="5"/>
    <x v="0"/>
    <s v="Blue"/>
    <s v="Phone"/>
    <n v="5"/>
    <x v="6"/>
    <x v="0"/>
    <s v="No commission"/>
    <s v="sales.EDGAR@email.com"/>
  </r>
  <r>
    <x v="32"/>
    <x v="5"/>
    <x v="2"/>
    <s v="Green"/>
    <s v="Live"/>
    <n v="8"/>
    <x v="4"/>
    <x v="0"/>
    <n v="5.2"/>
    <s v="sales.EDGAR@email.com"/>
  </r>
  <r>
    <x v="33"/>
    <x v="2"/>
    <x v="0"/>
    <s v="Blue"/>
    <s v="Phone"/>
    <n v="4"/>
    <x v="13"/>
    <x v="0"/>
    <s v="No commission"/>
    <s v="sales.LAUREN@email.com"/>
  </r>
  <r>
    <x v="34"/>
    <x v="1"/>
    <x v="1"/>
    <s v="Red"/>
    <s v="Phone"/>
    <n v="6"/>
    <x v="9"/>
    <x v="0"/>
    <s v="No commission"/>
    <s v="sales.PETE@email.com"/>
  </r>
  <r>
    <x v="35"/>
    <x v="2"/>
    <x v="1"/>
    <s v="Green"/>
    <s v="Website"/>
    <n v="7"/>
    <x v="17"/>
    <x v="0"/>
    <n v="4.55"/>
    <s v="sales.LAUREN@email.com"/>
  </r>
  <r>
    <x v="36"/>
    <x v="1"/>
    <x v="2"/>
    <s v="Red"/>
    <s v="Website"/>
    <n v="4"/>
    <x v="18"/>
    <x v="0"/>
    <s v="No commission"/>
    <s v="sales.PETE@email.com"/>
  </r>
  <r>
    <x v="37"/>
    <x v="1"/>
    <x v="0"/>
    <s v="Green"/>
    <s v="Live"/>
    <n v="6"/>
    <x v="19"/>
    <x v="0"/>
    <n v="3.9000000000000004"/>
    <s v="sales.PETE@email.com"/>
  </r>
  <r>
    <x v="38"/>
    <x v="2"/>
    <x v="0"/>
    <s v="Blue"/>
    <s v="Phone"/>
    <n v="1"/>
    <x v="12"/>
    <x v="0"/>
    <s v="No commission"/>
    <s v="sales.LAUREN@email.com"/>
  </r>
  <r>
    <x v="39"/>
    <x v="4"/>
    <x v="1"/>
    <s v="Blue"/>
    <s v="Live"/>
    <n v="4"/>
    <x v="13"/>
    <x v="0"/>
    <s v="No commission"/>
    <s v="sales.MARIO@email.com"/>
  </r>
  <r>
    <x v="40"/>
    <x v="5"/>
    <x v="1"/>
    <s v="Red"/>
    <s v="Phone"/>
    <n v="6"/>
    <x v="9"/>
    <x v="0"/>
    <s v="No commission"/>
    <s v="sales.EDGAR@email.com"/>
  </r>
  <r>
    <x v="41"/>
    <x v="2"/>
    <x v="1"/>
    <s v="Blue"/>
    <s v="Live"/>
    <n v="3"/>
    <x v="20"/>
    <x v="0"/>
    <s v="No commission"/>
    <s v="sales.LAUREN@email.com"/>
  </r>
  <r>
    <x v="42"/>
    <x v="4"/>
    <x v="0"/>
    <s v="Green"/>
    <s v="Website"/>
    <n v="2"/>
    <x v="2"/>
    <x v="0"/>
    <s v="No commission"/>
    <s v="sales.MARIO@email.com"/>
  </r>
  <r>
    <x v="43"/>
    <x v="5"/>
    <x v="1"/>
    <s v="Blue"/>
    <s v="Live"/>
    <n v="1"/>
    <x v="12"/>
    <x v="0"/>
    <s v="No commission"/>
    <s v="sales.EDGAR@email.com"/>
  </r>
  <r>
    <x v="44"/>
    <x v="2"/>
    <x v="3"/>
    <s v="Blue"/>
    <s v="Live"/>
    <n v="2"/>
    <x v="15"/>
    <x v="0"/>
    <s v="No commission"/>
    <s v="sales.LAUREN@email.com"/>
  </r>
  <r>
    <x v="45"/>
    <x v="0"/>
    <x v="2"/>
    <s v="Red"/>
    <s v="Website"/>
    <n v="8"/>
    <x v="8"/>
    <x v="0"/>
    <n v="4.4000000000000004"/>
    <s v="sales.MONIQUE@email.com"/>
  </r>
  <r>
    <x v="46"/>
    <x v="1"/>
    <x v="1"/>
    <s v="Green"/>
    <s v="Live"/>
    <n v="6"/>
    <x v="19"/>
    <x v="0"/>
    <n v="3.9000000000000004"/>
    <s v="sales.PETE@email.com"/>
  </r>
  <r>
    <x v="47"/>
    <x v="3"/>
    <x v="3"/>
    <s v="Green"/>
    <s v="Phone"/>
    <n v="7"/>
    <x v="17"/>
    <x v="0"/>
    <n v="4.55"/>
    <s v="sales.HARRY@email.com"/>
  </r>
  <r>
    <x v="48"/>
    <x v="5"/>
    <x v="1"/>
    <s v="Red"/>
    <s v="Website"/>
    <n v="2"/>
    <x v="5"/>
    <x v="0"/>
    <s v="No commission"/>
    <s v="sales.EDGAR@email.com"/>
  </r>
  <r>
    <x v="49"/>
    <x v="1"/>
    <x v="2"/>
    <s v="Blue"/>
    <s v="Phone"/>
    <n v="6"/>
    <x v="16"/>
    <x v="0"/>
    <n v="3.6"/>
    <s v="sales.PETE@email.com"/>
  </r>
  <r>
    <x v="50"/>
    <x v="4"/>
    <x v="2"/>
    <s v="Blue"/>
    <s v="Live"/>
    <n v="6"/>
    <x v="16"/>
    <x v="0"/>
    <n v="3.6"/>
    <s v="sales.MARIO@email.com"/>
  </r>
  <r>
    <x v="51"/>
    <x v="4"/>
    <x v="0"/>
    <s v="Blue"/>
    <s v="Phone"/>
    <n v="8"/>
    <x v="1"/>
    <x v="0"/>
    <n v="4.8000000000000007"/>
    <s v="sales.MARIO@email.com"/>
  </r>
  <r>
    <x v="52"/>
    <x v="2"/>
    <x v="1"/>
    <s v="Red"/>
    <s v="Website"/>
    <n v="3"/>
    <x v="14"/>
    <x v="0"/>
    <s v="No commission"/>
    <s v="sales.LAUREN@email.com"/>
  </r>
  <r>
    <x v="53"/>
    <x v="5"/>
    <x v="2"/>
    <s v="Blue"/>
    <s v="Phone"/>
    <n v="2"/>
    <x v="15"/>
    <x v="0"/>
    <s v="No commission"/>
    <s v="sales.EDGAR@email.com"/>
  </r>
  <r>
    <x v="54"/>
    <x v="3"/>
    <x v="1"/>
    <s v="Blue"/>
    <s v="Website"/>
    <n v="1"/>
    <x v="12"/>
    <x v="0"/>
    <s v="No commission"/>
    <s v="sales.HARRY@email.com"/>
  </r>
  <r>
    <x v="55"/>
    <x v="1"/>
    <x v="1"/>
    <s v="Blue"/>
    <s v="Phone"/>
    <n v="8"/>
    <x v="1"/>
    <x v="0"/>
    <n v="4.8000000000000007"/>
    <s v="sales.PETE@email.com"/>
  </r>
  <r>
    <x v="56"/>
    <x v="3"/>
    <x v="2"/>
    <s v="Green"/>
    <s v="Live"/>
    <n v="1"/>
    <x v="7"/>
    <x v="0"/>
    <s v="No commission"/>
    <s v="sales.HARRY@email.com"/>
  </r>
  <r>
    <x v="57"/>
    <x v="4"/>
    <x v="3"/>
    <s v="Green"/>
    <s v="Live"/>
    <n v="5"/>
    <x v="10"/>
    <x v="0"/>
    <s v="No commission"/>
    <s v="sales.MARIO@email.com"/>
  </r>
  <r>
    <x v="58"/>
    <x v="5"/>
    <x v="2"/>
    <s v="Blue"/>
    <s v="Phone"/>
    <n v="1"/>
    <x v="12"/>
    <x v="0"/>
    <s v="No commission"/>
    <s v="sales.EDGAR@email.com"/>
  </r>
  <r>
    <x v="59"/>
    <x v="1"/>
    <x v="2"/>
    <s v="Blue"/>
    <s v="Phone"/>
    <n v="1"/>
    <x v="12"/>
    <x v="0"/>
    <s v="No commission"/>
    <s v="sales.PETE@email.com"/>
  </r>
  <r>
    <x v="60"/>
    <x v="2"/>
    <x v="3"/>
    <s v="Green"/>
    <s v="Live"/>
    <n v="4"/>
    <x v="21"/>
    <x v="0"/>
    <s v="No commission"/>
    <s v="sales.LAUREN@email.com"/>
  </r>
  <r>
    <x v="61"/>
    <x v="4"/>
    <x v="1"/>
    <s v="Blue"/>
    <s v="Phone"/>
    <n v="5"/>
    <x v="6"/>
    <x v="0"/>
    <s v="No commission"/>
    <s v="sales.MARIO@email.com"/>
  </r>
  <r>
    <x v="62"/>
    <x v="3"/>
    <x v="3"/>
    <s v="Green"/>
    <s v="Phone"/>
    <n v="3"/>
    <x v="22"/>
    <x v="0"/>
    <s v="No commission"/>
    <s v="sales.HARRY@email.com"/>
  </r>
  <r>
    <x v="63"/>
    <x v="2"/>
    <x v="2"/>
    <s v="Blue"/>
    <s v="Live"/>
    <n v="8"/>
    <x v="1"/>
    <x v="0"/>
    <n v="4.8000000000000007"/>
    <s v="sales.LAUREN@email.com"/>
  </r>
  <r>
    <x v="64"/>
    <x v="1"/>
    <x v="0"/>
    <s v="Blue"/>
    <s v="Phone"/>
    <n v="6"/>
    <x v="16"/>
    <x v="0"/>
    <n v="3.6"/>
    <s v="sales.PETE@email.com"/>
  </r>
  <r>
    <x v="65"/>
    <x v="4"/>
    <x v="3"/>
    <s v="Blue"/>
    <s v="Live"/>
    <n v="1"/>
    <x v="12"/>
    <x v="0"/>
    <s v="No commission"/>
    <s v="sales.MARIO@email.com"/>
  </r>
  <r>
    <x v="66"/>
    <x v="5"/>
    <x v="3"/>
    <s v="Green"/>
    <s v="Live"/>
    <n v="8"/>
    <x v="4"/>
    <x v="0"/>
    <n v="5.2"/>
    <s v="sales.EDGAR@email.com"/>
  </r>
  <r>
    <x v="67"/>
    <x v="1"/>
    <x v="1"/>
    <s v="Blue"/>
    <s v="Live"/>
    <n v="5"/>
    <x v="6"/>
    <x v="0"/>
    <s v="No commission"/>
    <s v="sales.PETE@email.com"/>
  </r>
  <r>
    <x v="68"/>
    <x v="2"/>
    <x v="2"/>
    <s v="Green"/>
    <s v="Website"/>
    <n v="6"/>
    <x v="19"/>
    <x v="0"/>
    <n v="3.9000000000000004"/>
    <s v="sales.LAUREN@email.com"/>
  </r>
  <r>
    <x v="69"/>
    <x v="0"/>
    <x v="2"/>
    <s v="Blue"/>
    <s v="Live"/>
    <n v="8"/>
    <x v="1"/>
    <x v="0"/>
    <n v="4.8000000000000007"/>
    <s v="sales.MONIQUE@email.com"/>
  </r>
  <r>
    <x v="70"/>
    <x v="3"/>
    <x v="0"/>
    <s v="Blue"/>
    <s v="Website"/>
    <n v="3"/>
    <x v="20"/>
    <x v="0"/>
    <s v="No commission"/>
    <s v="sales.HARRY@email.com"/>
  </r>
  <r>
    <x v="71"/>
    <x v="1"/>
    <x v="1"/>
    <s v="Green"/>
    <s v="Live"/>
    <n v="5"/>
    <x v="10"/>
    <x v="0"/>
    <s v="No commission"/>
    <s v="sales.PETE@email.com"/>
  </r>
  <r>
    <x v="72"/>
    <x v="2"/>
    <x v="0"/>
    <s v="Green"/>
    <s v="Phone"/>
    <n v="5"/>
    <x v="10"/>
    <x v="0"/>
    <s v="No commission"/>
    <s v="sales.LAUREN@email.com"/>
  </r>
  <r>
    <x v="73"/>
    <x v="3"/>
    <x v="1"/>
    <s v="Green"/>
    <s v="Phone"/>
    <n v="1"/>
    <x v="7"/>
    <x v="0"/>
    <s v="No commission"/>
    <s v="sales.HARRY@email.com"/>
  </r>
  <r>
    <x v="74"/>
    <x v="3"/>
    <x v="1"/>
    <s v="Red"/>
    <s v="Live"/>
    <n v="4"/>
    <x v="18"/>
    <x v="0"/>
    <s v="No commission"/>
    <s v="sales.HARRY@email.com"/>
  </r>
  <r>
    <x v="75"/>
    <x v="1"/>
    <x v="0"/>
    <s v="Red"/>
    <s v="Live"/>
    <n v="2"/>
    <x v="5"/>
    <x v="0"/>
    <s v="No commission"/>
    <s v="sales.PETE@email.com"/>
  </r>
  <r>
    <x v="76"/>
    <x v="0"/>
    <x v="1"/>
    <s v="Green"/>
    <s v="Phone"/>
    <n v="6"/>
    <x v="19"/>
    <x v="0"/>
    <n v="3.9000000000000004"/>
    <s v="sales.MONIQUE@email.com"/>
  </r>
  <r>
    <x v="77"/>
    <x v="4"/>
    <x v="3"/>
    <s v="Blue"/>
    <s v="Website"/>
    <n v="7"/>
    <x v="3"/>
    <x v="0"/>
    <n v="4.2"/>
    <s v="sales.MARIO@email.com"/>
  </r>
  <r>
    <x v="78"/>
    <x v="0"/>
    <x v="0"/>
    <s v="Blue"/>
    <s v="Live"/>
    <n v="5"/>
    <x v="6"/>
    <x v="0"/>
    <s v="No commission"/>
    <s v="sales.MONIQUE@email.com"/>
  </r>
  <r>
    <x v="79"/>
    <x v="1"/>
    <x v="3"/>
    <s v="Green"/>
    <s v="Website"/>
    <n v="8"/>
    <x v="4"/>
    <x v="0"/>
    <n v="5.2"/>
    <s v="sales.PETE@email.com"/>
  </r>
  <r>
    <x v="80"/>
    <x v="2"/>
    <x v="0"/>
    <s v="Red"/>
    <s v="Phone"/>
    <n v="3"/>
    <x v="14"/>
    <x v="0"/>
    <s v="No commission"/>
    <s v="sales.LAUREN@email.com"/>
  </r>
  <r>
    <x v="81"/>
    <x v="1"/>
    <x v="0"/>
    <s v="Blue"/>
    <s v="Live"/>
    <n v="4"/>
    <x v="13"/>
    <x v="0"/>
    <s v="No commission"/>
    <s v="sales.PETE@email.com"/>
  </r>
  <r>
    <x v="82"/>
    <x v="5"/>
    <x v="3"/>
    <s v="Blue"/>
    <s v="Live"/>
    <n v="7"/>
    <x v="3"/>
    <x v="0"/>
    <n v="4.2"/>
    <s v="sales.EDGAR@email.com"/>
  </r>
  <r>
    <x v="83"/>
    <x v="1"/>
    <x v="0"/>
    <s v="Red"/>
    <s v="Phone"/>
    <n v="5"/>
    <x v="11"/>
    <x v="0"/>
    <s v="No commission"/>
    <s v="sales.PETE@email.com"/>
  </r>
  <r>
    <x v="84"/>
    <x v="2"/>
    <x v="3"/>
    <s v="Green"/>
    <s v="Phone"/>
    <n v="8"/>
    <x v="4"/>
    <x v="0"/>
    <n v="5.2"/>
    <s v="sales.LAUREN@email.com"/>
  </r>
  <r>
    <x v="85"/>
    <x v="4"/>
    <x v="0"/>
    <s v="Blue"/>
    <s v="Live"/>
    <n v="7"/>
    <x v="3"/>
    <x v="0"/>
    <n v="4.2"/>
    <s v="sales.MARIO@email.com"/>
  </r>
  <r>
    <x v="86"/>
    <x v="2"/>
    <x v="0"/>
    <s v="Blue"/>
    <s v="Website"/>
    <n v="1"/>
    <x v="12"/>
    <x v="0"/>
    <s v="No commission"/>
    <s v="sales.LAUREN@email.com"/>
  </r>
  <r>
    <x v="87"/>
    <x v="2"/>
    <x v="2"/>
    <s v="Green"/>
    <s v="Phone"/>
    <n v="3"/>
    <x v="22"/>
    <x v="0"/>
    <s v="No commission"/>
    <s v="sales.LAUREN@email.com"/>
  </r>
  <r>
    <x v="88"/>
    <x v="1"/>
    <x v="0"/>
    <s v="Green"/>
    <s v="Live"/>
    <n v="5"/>
    <x v="10"/>
    <x v="0"/>
    <s v="No commission"/>
    <s v="sales.PETE@email.com"/>
  </r>
  <r>
    <x v="89"/>
    <x v="1"/>
    <x v="2"/>
    <s v="Red"/>
    <s v="Phone"/>
    <n v="7"/>
    <x v="23"/>
    <x v="0"/>
    <n v="3.85"/>
    <s v="sales.PETE@email.com"/>
  </r>
  <r>
    <x v="90"/>
    <x v="3"/>
    <x v="0"/>
    <s v="Red"/>
    <s v="Phone"/>
    <n v="4"/>
    <x v="18"/>
    <x v="0"/>
    <s v="No commission"/>
    <s v="sales.HARRY@email.com"/>
  </r>
  <r>
    <x v="91"/>
    <x v="2"/>
    <x v="0"/>
    <s v="Blue"/>
    <s v="Phone"/>
    <n v="1"/>
    <x v="12"/>
    <x v="0"/>
    <s v="No commission"/>
    <s v="sales.LAUREN@email.com"/>
  </r>
  <r>
    <x v="92"/>
    <x v="1"/>
    <x v="3"/>
    <s v="Red"/>
    <s v="Live"/>
    <n v="2"/>
    <x v="5"/>
    <x v="0"/>
    <s v="No commission"/>
    <s v="sales.PETE@email.com"/>
  </r>
  <r>
    <x v="93"/>
    <x v="4"/>
    <x v="0"/>
    <s v="Blue"/>
    <s v="Website"/>
    <n v="8"/>
    <x v="1"/>
    <x v="0"/>
    <n v="4.8000000000000007"/>
    <s v="sales.MARIO@email.com"/>
  </r>
  <r>
    <x v="94"/>
    <x v="3"/>
    <x v="2"/>
    <s v="Green"/>
    <s v="Phone"/>
    <n v="1"/>
    <x v="7"/>
    <x v="0"/>
    <s v="No commission"/>
    <s v="sales.HARRY@email.com"/>
  </r>
  <r>
    <x v="95"/>
    <x v="0"/>
    <x v="0"/>
    <s v="Red"/>
    <s v="Website"/>
    <n v="3"/>
    <x v="14"/>
    <x v="0"/>
    <s v="No commission"/>
    <s v="sales.MONIQUE@email.com"/>
  </r>
  <r>
    <x v="96"/>
    <x v="5"/>
    <x v="0"/>
    <s v="Green"/>
    <s v="Live"/>
    <n v="4"/>
    <x v="21"/>
    <x v="0"/>
    <s v="No commission"/>
    <s v="sales.EDGAR@email.com"/>
  </r>
  <r>
    <x v="97"/>
    <x v="4"/>
    <x v="3"/>
    <s v="Red"/>
    <s v="Phone"/>
    <n v="2"/>
    <x v="5"/>
    <x v="0"/>
    <s v="No commission"/>
    <s v="sales.MARIO@email.com"/>
  </r>
  <r>
    <x v="98"/>
    <x v="3"/>
    <x v="0"/>
    <s v="Red"/>
    <s v="Website"/>
    <n v="5"/>
    <x v="11"/>
    <x v="0"/>
    <s v="No commission"/>
    <s v="sales.HARRY@email.com"/>
  </r>
  <r>
    <x v="99"/>
    <x v="2"/>
    <x v="3"/>
    <s v="Blue"/>
    <s v="Website"/>
    <n v="1"/>
    <x v="12"/>
    <x v="0"/>
    <s v="No commission"/>
    <s v="sales.LAUREN@email.com"/>
  </r>
  <r>
    <x v="100"/>
    <x v="1"/>
    <x v="1"/>
    <s v="Red"/>
    <s v="Live"/>
    <n v="2"/>
    <x v="5"/>
    <x v="0"/>
    <s v="No commission"/>
    <s v="sales.PETE@email.com"/>
  </r>
  <r>
    <x v="101"/>
    <x v="3"/>
    <x v="3"/>
    <s v="Blue"/>
    <s v="Website"/>
    <n v="7"/>
    <x v="3"/>
    <x v="0"/>
    <n v="4.2"/>
    <s v="sales.HARRY@email.com"/>
  </r>
  <r>
    <x v="102"/>
    <x v="1"/>
    <x v="2"/>
    <s v="Red"/>
    <s v="Phone"/>
    <n v="5"/>
    <x v="11"/>
    <x v="0"/>
    <s v="No commission"/>
    <s v="sales.PETE@email.com"/>
  </r>
  <r>
    <x v="103"/>
    <x v="2"/>
    <x v="0"/>
    <s v="Red"/>
    <s v="Phone"/>
    <n v="2"/>
    <x v="5"/>
    <x v="0"/>
    <s v="No commission"/>
    <s v="sales.LAUREN@email.com"/>
  </r>
  <r>
    <x v="104"/>
    <x v="0"/>
    <x v="0"/>
    <s v="Green"/>
    <s v="Live"/>
    <n v="3"/>
    <x v="22"/>
    <x v="0"/>
    <s v="No commission"/>
    <s v="sales.MONIQUE@email.com"/>
  </r>
  <r>
    <x v="105"/>
    <x v="3"/>
    <x v="2"/>
    <s v="Green"/>
    <s v="Website"/>
    <n v="2"/>
    <x v="2"/>
    <x v="0"/>
    <s v="No commission"/>
    <s v="sales.HARRY@email.com"/>
  </r>
  <r>
    <x v="106"/>
    <x v="0"/>
    <x v="0"/>
    <s v="Green"/>
    <s v="Live"/>
    <n v="3"/>
    <x v="22"/>
    <x v="0"/>
    <s v="No commission"/>
    <s v="sales.MONIQUE@email.com"/>
  </r>
  <r>
    <x v="107"/>
    <x v="1"/>
    <x v="0"/>
    <s v="Blue"/>
    <s v="Phone"/>
    <n v="8"/>
    <x v="1"/>
    <x v="0"/>
    <n v="4.8000000000000007"/>
    <s v="sales.PETE@email.com"/>
  </r>
  <r>
    <x v="108"/>
    <x v="3"/>
    <x v="0"/>
    <s v="Red"/>
    <s v="Live"/>
    <n v="1"/>
    <x v="0"/>
    <x v="0"/>
    <s v="No commission"/>
    <s v="sales.HARRY@email.com"/>
  </r>
  <r>
    <x v="109"/>
    <x v="5"/>
    <x v="0"/>
    <s v="Red"/>
    <s v="Website"/>
    <n v="8"/>
    <x v="8"/>
    <x v="0"/>
    <n v="4.4000000000000004"/>
    <s v="sales.EDGAR@email.com"/>
  </r>
  <r>
    <x v="110"/>
    <x v="4"/>
    <x v="3"/>
    <s v="Green"/>
    <s v="Live"/>
    <n v="5"/>
    <x v="10"/>
    <x v="0"/>
    <s v="No commission"/>
    <s v="sales.MARIO@email.com"/>
  </r>
  <r>
    <x v="111"/>
    <x v="4"/>
    <x v="1"/>
    <s v="Blue"/>
    <s v="Phone"/>
    <n v="1"/>
    <x v="12"/>
    <x v="0"/>
    <s v="No commission"/>
    <s v="sales.MARIO@email.com"/>
  </r>
  <r>
    <x v="112"/>
    <x v="3"/>
    <x v="0"/>
    <s v="Red"/>
    <s v="Phone"/>
    <n v="8"/>
    <x v="8"/>
    <x v="0"/>
    <n v="4.4000000000000004"/>
    <s v="sales.HARRY@email.com"/>
  </r>
  <r>
    <x v="113"/>
    <x v="4"/>
    <x v="0"/>
    <s v="Green"/>
    <s v="Website"/>
    <n v="1"/>
    <x v="7"/>
    <x v="0"/>
    <s v="No commission"/>
    <s v="sales.MARIO@email.com"/>
  </r>
  <r>
    <x v="114"/>
    <x v="2"/>
    <x v="0"/>
    <s v="Blue"/>
    <s v="Live"/>
    <n v="6"/>
    <x v="16"/>
    <x v="0"/>
    <n v="3.6"/>
    <s v="sales.LAUREN@email.com"/>
  </r>
  <r>
    <x v="115"/>
    <x v="5"/>
    <x v="2"/>
    <s v="Red"/>
    <s v="Website"/>
    <n v="5"/>
    <x v="11"/>
    <x v="0"/>
    <s v="No commission"/>
    <s v="sales.EDGAR@email.com"/>
  </r>
  <r>
    <x v="116"/>
    <x v="0"/>
    <x v="3"/>
    <s v="Blue"/>
    <s v="Live"/>
    <n v="3"/>
    <x v="20"/>
    <x v="0"/>
    <s v="No commission"/>
    <s v="sales.MONIQUE@email.com"/>
  </r>
  <r>
    <x v="117"/>
    <x v="3"/>
    <x v="1"/>
    <s v="Green"/>
    <s v="Phone"/>
    <n v="8"/>
    <x v="4"/>
    <x v="0"/>
    <n v="5.2"/>
    <s v="sales.HARRY@email.com"/>
  </r>
  <r>
    <x v="118"/>
    <x v="1"/>
    <x v="3"/>
    <s v="Red"/>
    <s v="Live"/>
    <n v="1"/>
    <x v="0"/>
    <x v="0"/>
    <s v="No commission"/>
    <s v="sales.PETE@email.com"/>
  </r>
  <r>
    <x v="119"/>
    <x v="4"/>
    <x v="2"/>
    <s v="Blue"/>
    <s v="Website"/>
    <n v="3"/>
    <x v="20"/>
    <x v="0"/>
    <s v="No commission"/>
    <s v="sales.MARIO@email.com"/>
  </r>
  <r>
    <x v="120"/>
    <x v="1"/>
    <x v="1"/>
    <s v="Blue"/>
    <s v="Phone"/>
    <n v="4"/>
    <x v="13"/>
    <x v="0"/>
    <s v="No commission"/>
    <s v="sales.PETE@email.com"/>
  </r>
  <r>
    <x v="121"/>
    <x v="2"/>
    <x v="3"/>
    <s v="Green"/>
    <s v="Website"/>
    <n v="8"/>
    <x v="4"/>
    <x v="0"/>
    <n v="5.2"/>
    <s v="sales.LAUREN@email.com"/>
  </r>
  <r>
    <x v="122"/>
    <x v="3"/>
    <x v="2"/>
    <s v="Red"/>
    <s v="Live"/>
    <n v="7"/>
    <x v="23"/>
    <x v="0"/>
    <n v="3.85"/>
    <s v="sales.HARRY@email.com"/>
  </r>
  <r>
    <x v="123"/>
    <x v="5"/>
    <x v="0"/>
    <s v="Red"/>
    <s v="Live"/>
    <n v="5"/>
    <x v="11"/>
    <x v="0"/>
    <s v="No commission"/>
    <s v="sales.EDGAR@email.com"/>
  </r>
  <r>
    <x v="124"/>
    <x v="0"/>
    <x v="3"/>
    <s v="Blue"/>
    <s v="Phone"/>
    <n v="2"/>
    <x v="15"/>
    <x v="0"/>
    <s v="No commission"/>
    <s v="sales.MONIQUE@email.com"/>
  </r>
  <r>
    <x v="125"/>
    <x v="1"/>
    <x v="2"/>
    <s v="Red"/>
    <s v="Phone"/>
    <n v="5"/>
    <x v="11"/>
    <x v="0"/>
    <s v="No commission"/>
    <s v="sales.PETE@email.com"/>
  </r>
  <r>
    <x v="126"/>
    <x v="0"/>
    <x v="0"/>
    <s v="Green"/>
    <s v="Phone"/>
    <n v="7"/>
    <x v="17"/>
    <x v="0"/>
    <n v="4.55"/>
    <s v="sales.MONIQUE@email.com"/>
  </r>
  <r>
    <x v="127"/>
    <x v="2"/>
    <x v="0"/>
    <s v="Green"/>
    <s v="Website"/>
    <n v="1"/>
    <x v="7"/>
    <x v="0"/>
    <s v="No commission"/>
    <s v="sales.LAUREN@email.com"/>
  </r>
  <r>
    <x v="128"/>
    <x v="3"/>
    <x v="0"/>
    <s v="Red"/>
    <s v="Live"/>
    <n v="7"/>
    <x v="23"/>
    <x v="0"/>
    <n v="3.85"/>
    <s v="sales.HARRY@email.com"/>
  </r>
  <r>
    <x v="129"/>
    <x v="1"/>
    <x v="2"/>
    <s v="Blue"/>
    <s v="Live"/>
    <n v="4"/>
    <x v="13"/>
    <x v="0"/>
    <s v="No commission"/>
    <s v="sales.PETE@email.com"/>
  </r>
  <r>
    <x v="130"/>
    <x v="0"/>
    <x v="1"/>
    <s v="Red"/>
    <s v="Phone"/>
    <n v="6"/>
    <x v="9"/>
    <x v="0"/>
    <s v="No commission"/>
    <s v="sales.MONIQUE@email.com"/>
  </r>
  <r>
    <x v="131"/>
    <x v="1"/>
    <x v="0"/>
    <s v="Blue"/>
    <s v="Website"/>
    <n v="2"/>
    <x v="15"/>
    <x v="0"/>
    <s v="No commission"/>
    <s v="sales.PETE@email.com"/>
  </r>
  <r>
    <x v="132"/>
    <x v="1"/>
    <x v="3"/>
    <s v="Blue"/>
    <s v="Phone"/>
    <n v="6"/>
    <x v="16"/>
    <x v="0"/>
    <n v="3.6"/>
    <s v="sales.PETE@email.com"/>
  </r>
  <r>
    <x v="133"/>
    <x v="2"/>
    <x v="0"/>
    <s v="Red"/>
    <s v="Live"/>
    <n v="8"/>
    <x v="8"/>
    <x v="0"/>
    <n v="4.4000000000000004"/>
    <s v="sales.LAUREN@email.com"/>
  </r>
  <r>
    <x v="134"/>
    <x v="0"/>
    <x v="0"/>
    <s v="Red"/>
    <s v="Phone"/>
    <n v="7"/>
    <x v="23"/>
    <x v="0"/>
    <n v="3.85"/>
    <s v="sales.MONIQUE@email.com"/>
  </r>
  <r>
    <x v="135"/>
    <x v="0"/>
    <x v="1"/>
    <s v="Blue"/>
    <s v="Website"/>
    <n v="2"/>
    <x v="15"/>
    <x v="0"/>
    <s v="No commission"/>
    <s v="sales.MONIQUE@email.com"/>
  </r>
  <r>
    <x v="136"/>
    <x v="1"/>
    <x v="3"/>
    <s v="Green"/>
    <s v="Live"/>
    <n v="8"/>
    <x v="4"/>
    <x v="0"/>
    <n v="5.2"/>
    <s v="sales.PETE@email.com"/>
  </r>
  <r>
    <x v="137"/>
    <x v="5"/>
    <x v="0"/>
    <s v="Green"/>
    <s v="Live"/>
    <n v="6"/>
    <x v="19"/>
    <x v="0"/>
    <n v="3.9000000000000004"/>
    <s v="sales.EDGAR@email.com"/>
  </r>
  <r>
    <x v="138"/>
    <x v="4"/>
    <x v="1"/>
    <s v="Red"/>
    <s v="Website"/>
    <n v="6"/>
    <x v="9"/>
    <x v="0"/>
    <s v="No commission"/>
    <s v="sales.MARIO@email.com"/>
  </r>
  <r>
    <x v="139"/>
    <x v="2"/>
    <x v="0"/>
    <s v="Blue"/>
    <s v="Website"/>
    <n v="3"/>
    <x v="20"/>
    <x v="0"/>
    <s v="No commission"/>
    <s v="sales.LAUREN@email.com"/>
  </r>
  <r>
    <x v="140"/>
    <x v="1"/>
    <x v="2"/>
    <s v="Red"/>
    <s v="Phone"/>
    <n v="4"/>
    <x v="18"/>
    <x v="0"/>
    <s v="No commission"/>
    <s v="sales.PETE@email.com"/>
  </r>
  <r>
    <x v="141"/>
    <x v="1"/>
    <x v="1"/>
    <s v="Red"/>
    <s v="Website"/>
    <n v="1"/>
    <x v="0"/>
    <x v="0"/>
    <s v="No commission"/>
    <s v="sales.PETE@email.com"/>
  </r>
  <r>
    <x v="142"/>
    <x v="4"/>
    <x v="1"/>
    <s v="Red"/>
    <s v="Website"/>
    <n v="1"/>
    <x v="0"/>
    <x v="0"/>
    <s v="No commission"/>
    <s v="sales.MARIO@email.com"/>
  </r>
  <r>
    <x v="143"/>
    <x v="3"/>
    <x v="3"/>
    <s v="Green"/>
    <s v="Website"/>
    <n v="6"/>
    <x v="19"/>
    <x v="0"/>
    <n v="3.9000000000000004"/>
    <s v="sales.HARRY@email.com"/>
  </r>
  <r>
    <x v="144"/>
    <x v="3"/>
    <x v="3"/>
    <s v="Red"/>
    <s v="Live"/>
    <n v="3"/>
    <x v="14"/>
    <x v="0"/>
    <s v="No commission"/>
    <s v="sales.HARRY@email.com"/>
  </r>
  <r>
    <x v="145"/>
    <x v="5"/>
    <x v="1"/>
    <s v="Blue"/>
    <s v="Phone"/>
    <n v="4"/>
    <x v="13"/>
    <x v="0"/>
    <s v="No commission"/>
    <s v="sales.EDGAR@email.com"/>
  </r>
  <r>
    <x v="146"/>
    <x v="4"/>
    <x v="1"/>
    <s v="Blue"/>
    <s v="Phone"/>
    <n v="4"/>
    <x v="13"/>
    <x v="0"/>
    <s v="No commission"/>
    <s v="sales.MARIO@email.com"/>
  </r>
  <r>
    <x v="147"/>
    <x v="5"/>
    <x v="0"/>
    <s v="Green"/>
    <s v="Live"/>
    <n v="7"/>
    <x v="17"/>
    <x v="0"/>
    <n v="4.55"/>
    <s v="sales.EDGAR@email.com"/>
  </r>
  <r>
    <x v="148"/>
    <x v="2"/>
    <x v="3"/>
    <s v="Red"/>
    <s v="Phone"/>
    <n v="4"/>
    <x v="18"/>
    <x v="0"/>
    <s v="No commission"/>
    <s v="sales.LAUREN@email.com"/>
  </r>
  <r>
    <x v="149"/>
    <x v="4"/>
    <x v="2"/>
    <s v="Green"/>
    <s v="Website"/>
    <n v="2"/>
    <x v="2"/>
    <x v="0"/>
    <s v="No commission"/>
    <s v="sales.MARIO@email.com"/>
  </r>
  <r>
    <x v="150"/>
    <x v="1"/>
    <x v="1"/>
    <s v="Red"/>
    <s v="Phone"/>
    <n v="8"/>
    <x v="8"/>
    <x v="0"/>
    <n v="4.4000000000000004"/>
    <s v="sales.PETE@email.com"/>
  </r>
  <r>
    <x v="151"/>
    <x v="1"/>
    <x v="2"/>
    <s v="Red"/>
    <s v="Website"/>
    <n v="3"/>
    <x v="14"/>
    <x v="0"/>
    <s v="No commission"/>
    <s v="sales.PETE@email.com"/>
  </r>
  <r>
    <x v="152"/>
    <x v="0"/>
    <x v="2"/>
    <s v="Green"/>
    <s v="Phone"/>
    <n v="5"/>
    <x v="10"/>
    <x v="0"/>
    <s v="No commission"/>
    <s v="sales.MONIQUE@email.com"/>
  </r>
  <r>
    <x v="153"/>
    <x v="5"/>
    <x v="2"/>
    <s v="Blue"/>
    <s v="Phone"/>
    <n v="1"/>
    <x v="12"/>
    <x v="0"/>
    <s v="No commission"/>
    <s v="sales.EDGAR@email.com"/>
  </r>
  <r>
    <x v="154"/>
    <x v="1"/>
    <x v="0"/>
    <s v="Green"/>
    <s v="Live"/>
    <n v="4"/>
    <x v="21"/>
    <x v="0"/>
    <s v="No commission"/>
    <s v="sales.PETE@email.com"/>
  </r>
  <r>
    <x v="155"/>
    <x v="0"/>
    <x v="3"/>
    <s v="Red"/>
    <s v="Live"/>
    <n v="5"/>
    <x v="11"/>
    <x v="0"/>
    <s v="No commission"/>
    <s v="sales.MONIQUE@email.com"/>
  </r>
  <r>
    <x v="156"/>
    <x v="2"/>
    <x v="0"/>
    <s v="Green"/>
    <s v="Live"/>
    <n v="4"/>
    <x v="21"/>
    <x v="0"/>
    <s v="No commission"/>
    <s v="sales.LAUREN@email.com"/>
  </r>
  <r>
    <x v="157"/>
    <x v="1"/>
    <x v="0"/>
    <s v="Red"/>
    <s v="Website"/>
    <n v="6"/>
    <x v="9"/>
    <x v="0"/>
    <s v="No commission"/>
    <s v="sales.PETE@email.com"/>
  </r>
  <r>
    <x v="158"/>
    <x v="5"/>
    <x v="1"/>
    <s v="Green"/>
    <s v="Phone"/>
    <n v="3"/>
    <x v="22"/>
    <x v="0"/>
    <s v="No commission"/>
    <s v="sales.EDGAR@email.com"/>
  </r>
  <r>
    <x v="159"/>
    <x v="0"/>
    <x v="1"/>
    <s v="Blue"/>
    <s v="Phone"/>
    <n v="6"/>
    <x v="16"/>
    <x v="0"/>
    <n v="3.6"/>
    <s v="sales.MONIQUE@email.com"/>
  </r>
  <r>
    <x v="160"/>
    <x v="1"/>
    <x v="0"/>
    <s v="Green"/>
    <s v="Website"/>
    <n v="1"/>
    <x v="7"/>
    <x v="0"/>
    <s v="No commission"/>
    <s v="sales.PETE@email.com"/>
  </r>
  <r>
    <x v="161"/>
    <x v="1"/>
    <x v="1"/>
    <s v="Red"/>
    <s v="Live"/>
    <n v="1"/>
    <x v="0"/>
    <x v="0"/>
    <s v="No commission"/>
    <s v="sales.PETE@email.com"/>
  </r>
  <r>
    <x v="162"/>
    <x v="0"/>
    <x v="0"/>
    <s v="Red"/>
    <s v="Phone"/>
    <n v="7"/>
    <x v="23"/>
    <x v="0"/>
    <n v="3.85"/>
    <s v="sales.MONIQUE@email.com"/>
  </r>
  <r>
    <x v="163"/>
    <x v="2"/>
    <x v="0"/>
    <s v="Blue"/>
    <s v="Website"/>
    <n v="5"/>
    <x v="6"/>
    <x v="0"/>
    <s v="No commission"/>
    <s v="sales.LAUREN@email.com"/>
  </r>
  <r>
    <x v="164"/>
    <x v="4"/>
    <x v="1"/>
    <s v="Red"/>
    <s v="Live"/>
    <n v="4"/>
    <x v="18"/>
    <x v="0"/>
    <s v="No commission"/>
    <s v="sales.MARIO@email.com"/>
  </r>
  <r>
    <x v="165"/>
    <x v="5"/>
    <x v="3"/>
    <s v="Green"/>
    <s v="Website"/>
    <n v="6"/>
    <x v="19"/>
    <x v="0"/>
    <n v="3.9000000000000004"/>
    <s v="sales.EDGAR@email.com"/>
  </r>
  <r>
    <x v="166"/>
    <x v="4"/>
    <x v="1"/>
    <s v="Green"/>
    <s v="Live"/>
    <n v="1"/>
    <x v="7"/>
    <x v="0"/>
    <s v="No commission"/>
    <s v="sales.MARIO@email.com"/>
  </r>
  <r>
    <x v="167"/>
    <x v="1"/>
    <x v="2"/>
    <s v="Green"/>
    <s v="Phone"/>
    <n v="7"/>
    <x v="17"/>
    <x v="0"/>
    <n v="4.55"/>
    <s v="sales.PETE@email.com"/>
  </r>
  <r>
    <x v="168"/>
    <x v="1"/>
    <x v="2"/>
    <s v="Blue"/>
    <s v="Phone"/>
    <n v="3"/>
    <x v="20"/>
    <x v="0"/>
    <s v="No commission"/>
    <s v="sales.PETE@email.com"/>
  </r>
  <r>
    <x v="169"/>
    <x v="2"/>
    <x v="0"/>
    <s v="Blue"/>
    <s v="Website"/>
    <n v="2"/>
    <x v="15"/>
    <x v="0"/>
    <s v="No commission"/>
    <s v="sales.LAUREN@email.com"/>
  </r>
  <r>
    <x v="170"/>
    <x v="1"/>
    <x v="0"/>
    <s v="Green"/>
    <s v="Live"/>
    <n v="8"/>
    <x v="4"/>
    <x v="0"/>
    <n v="5.2"/>
    <s v="sales.PETE@email.com"/>
  </r>
  <r>
    <x v="171"/>
    <x v="3"/>
    <x v="2"/>
    <s v="Blue"/>
    <s v="Live"/>
    <n v="6"/>
    <x v="16"/>
    <x v="0"/>
    <n v="3.6"/>
    <s v="sales.HARRY@email.com"/>
  </r>
  <r>
    <x v="172"/>
    <x v="5"/>
    <x v="0"/>
    <s v="Red"/>
    <s v="Live"/>
    <n v="5"/>
    <x v="11"/>
    <x v="0"/>
    <s v="No commission"/>
    <s v="sales.EDGAR@email.com"/>
  </r>
  <r>
    <x v="173"/>
    <x v="2"/>
    <x v="0"/>
    <s v="Blue"/>
    <s v="Live"/>
    <n v="4"/>
    <x v="13"/>
    <x v="0"/>
    <s v="No commission"/>
    <s v="sales.LAUREN@email.com"/>
  </r>
  <r>
    <x v="174"/>
    <x v="0"/>
    <x v="0"/>
    <s v="Red"/>
    <s v="Website"/>
    <n v="8"/>
    <x v="8"/>
    <x v="0"/>
    <n v="4.4000000000000004"/>
    <s v="sales.MONIQUE@email.com"/>
  </r>
  <r>
    <x v="175"/>
    <x v="0"/>
    <x v="3"/>
    <s v="Blue"/>
    <s v="Phone"/>
    <n v="8"/>
    <x v="1"/>
    <x v="0"/>
    <n v="4.8000000000000007"/>
    <s v="sales.MONIQUE@email.com"/>
  </r>
  <r>
    <x v="176"/>
    <x v="0"/>
    <x v="0"/>
    <s v="Green"/>
    <s v="Website"/>
    <n v="5"/>
    <x v="10"/>
    <x v="0"/>
    <s v="No commission"/>
    <s v="sales.MONIQUE@email.com"/>
  </r>
  <r>
    <x v="177"/>
    <x v="1"/>
    <x v="2"/>
    <s v="Blue"/>
    <s v="Phone"/>
    <n v="3"/>
    <x v="20"/>
    <x v="0"/>
    <s v="No commission"/>
    <s v="sales.PETE@email.com"/>
  </r>
  <r>
    <x v="178"/>
    <x v="5"/>
    <x v="0"/>
    <s v="Blue"/>
    <s v="Phone"/>
    <n v="4"/>
    <x v="13"/>
    <x v="0"/>
    <s v="No commission"/>
    <s v="sales.EDGAR@email.com"/>
  </r>
  <r>
    <x v="179"/>
    <x v="2"/>
    <x v="0"/>
    <s v="Blue"/>
    <s v="Phone"/>
    <n v="5"/>
    <x v="6"/>
    <x v="0"/>
    <s v="No commission"/>
    <s v="sales.LAUREN@email.com"/>
  </r>
  <r>
    <x v="180"/>
    <x v="4"/>
    <x v="0"/>
    <s v="Green"/>
    <s v="Live"/>
    <n v="1"/>
    <x v="7"/>
    <x v="0"/>
    <s v="No commission"/>
    <s v="sales.MARIO@email.com"/>
  </r>
  <r>
    <x v="181"/>
    <x v="1"/>
    <x v="2"/>
    <s v="Red"/>
    <s v="Phone"/>
    <n v="4"/>
    <x v="18"/>
    <x v="0"/>
    <s v="No commission"/>
    <s v="sales.PETE@email.com"/>
  </r>
  <r>
    <x v="182"/>
    <x v="0"/>
    <x v="2"/>
    <s v="Green"/>
    <s v="Website"/>
    <n v="5"/>
    <x v="10"/>
    <x v="0"/>
    <s v="No commission"/>
    <s v="sales.MONIQUE@email.com"/>
  </r>
  <r>
    <x v="183"/>
    <x v="5"/>
    <x v="2"/>
    <s v="Blue"/>
    <s v="Phone"/>
    <n v="5"/>
    <x v="6"/>
    <x v="0"/>
    <s v="No commission"/>
    <s v="sales.EDGAR@email.com"/>
  </r>
  <r>
    <x v="184"/>
    <x v="1"/>
    <x v="0"/>
    <s v="Blue"/>
    <s v="Phone"/>
    <n v="1"/>
    <x v="12"/>
    <x v="0"/>
    <s v="No commission"/>
    <s v="sales.PETE@email.com"/>
  </r>
  <r>
    <x v="185"/>
    <x v="4"/>
    <x v="2"/>
    <s v="Blue"/>
    <s v="Live"/>
    <n v="6"/>
    <x v="16"/>
    <x v="0"/>
    <n v="3.6"/>
    <s v="sales.MARIO@email.com"/>
  </r>
  <r>
    <x v="186"/>
    <x v="0"/>
    <x v="2"/>
    <s v="Green"/>
    <s v="Phone"/>
    <n v="2"/>
    <x v="2"/>
    <x v="0"/>
    <s v="No commission"/>
    <s v="sales.MONIQUE@email.com"/>
  </r>
  <r>
    <x v="187"/>
    <x v="2"/>
    <x v="2"/>
    <s v="Blue"/>
    <s v="Live"/>
    <n v="1"/>
    <x v="12"/>
    <x v="0"/>
    <s v="No commission"/>
    <s v="sales.LAUREN@email.com"/>
  </r>
  <r>
    <x v="188"/>
    <x v="4"/>
    <x v="3"/>
    <s v="Blue"/>
    <s v="Website"/>
    <n v="1"/>
    <x v="12"/>
    <x v="0"/>
    <s v="No commission"/>
    <s v="sales.MARIO@email.com"/>
  </r>
  <r>
    <x v="189"/>
    <x v="0"/>
    <x v="1"/>
    <s v="Green"/>
    <s v="Phone"/>
    <n v="8"/>
    <x v="4"/>
    <x v="0"/>
    <n v="5.2"/>
    <s v="sales.MONIQUE@email.com"/>
  </r>
  <r>
    <x v="190"/>
    <x v="1"/>
    <x v="2"/>
    <s v="Red"/>
    <s v="Phone"/>
    <n v="4"/>
    <x v="18"/>
    <x v="0"/>
    <s v="No commission"/>
    <s v="sales.PETE@email.com"/>
  </r>
  <r>
    <x v="191"/>
    <x v="1"/>
    <x v="1"/>
    <s v="Blue"/>
    <s v="Phone"/>
    <n v="8"/>
    <x v="1"/>
    <x v="0"/>
    <n v="4.8000000000000007"/>
    <s v="sales.PETE@email.com"/>
  </r>
  <r>
    <x v="192"/>
    <x v="2"/>
    <x v="2"/>
    <s v="Red"/>
    <s v="Website"/>
    <n v="2"/>
    <x v="5"/>
    <x v="0"/>
    <s v="No commission"/>
    <s v="sales.LAUREN@email.com"/>
  </r>
  <r>
    <x v="193"/>
    <x v="3"/>
    <x v="2"/>
    <s v="Green"/>
    <s v="Website"/>
    <n v="3"/>
    <x v="22"/>
    <x v="0"/>
    <s v="No commission"/>
    <s v="sales.HARRY@email.com"/>
  </r>
  <r>
    <x v="194"/>
    <x v="3"/>
    <x v="0"/>
    <s v="Silver"/>
    <s v="Live"/>
    <n v="6"/>
    <x v="3"/>
    <x v="0"/>
    <n v="4.2"/>
    <s v="sales.HARRY@email.com"/>
  </r>
  <r>
    <x v="195"/>
    <x v="1"/>
    <x v="2"/>
    <s v="Red"/>
    <s v="Phone"/>
    <n v="8"/>
    <x v="8"/>
    <x v="0"/>
    <n v="4.4000000000000004"/>
    <s v="sales.PETE@email.com"/>
  </r>
  <r>
    <x v="196"/>
    <x v="5"/>
    <x v="2"/>
    <s v="Blue"/>
    <s v="Phone"/>
    <n v="8"/>
    <x v="1"/>
    <x v="0"/>
    <n v="4.8000000000000007"/>
    <s v="sales.EDGAR@email.com"/>
  </r>
  <r>
    <x v="197"/>
    <x v="4"/>
    <x v="0"/>
    <s v="Blue"/>
    <s v="Website"/>
    <n v="4"/>
    <x v="13"/>
    <x v="0"/>
    <s v="No commission"/>
    <s v="sales.MARIO@email.com"/>
  </r>
  <r>
    <x v="198"/>
    <x v="1"/>
    <x v="0"/>
    <s v="Blue"/>
    <s v="Live"/>
    <n v="6"/>
    <x v="16"/>
    <x v="0"/>
    <n v="3.6"/>
    <s v="sales.PETE@email.com"/>
  </r>
  <r>
    <x v="199"/>
    <x v="2"/>
    <x v="2"/>
    <s v="Silver"/>
    <s v="Phone"/>
    <n v="7"/>
    <x v="24"/>
    <x v="0"/>
    <n v="4.9000000000000004"/>
    <s v="sales.LAUREN@email.com"/>
  </r>
  <r>
    <x v="200"/>
    <x v="4"/>
    <x v="3"/>
    <s v="Blue"/>
    <s v="Phone"/>
    <n v="3"/>
    <x v="20"/>
    <x v="0"/>
    <s v="No commission"/>
    <s v="sales.MARIO@email.com"/>
  </r>
  <r>
    <x v="201"/>
    <x v="4"/>
    <x v="2"/>
    <s v="Green"/>
    <s v="Live"/>
    <n v="4"/>
    <x v="21"/>
    <x v="0"/>
    <s v="No commission"/>
    <s v="sales.MARIO@email.com"/>
  </r>
  <r>
    <x v="202"/>
    <x v="2"/>
    <x v="0"/>
    <s v="Silver"/>
    <s v="Website"/>
    <n v="6"/>
    <x v="3"/>
    <x v="0"/>
    <n v="4.2"/>
    <s v="sales.LAUREN@email.com"/>
  </r>
  <r>
    <x v="203"/>
    <x v="1"/>
    <x v="2"/>
    <s v="Red"/>
    <s v="Phone"/>
    <n v="1"/>
    <x v="0"/>
    <x v="0"/>
    <s v="No commission"/>
    <s v="sales.PETE@email.com"/>
  </r>
  <r>
    <x v="204"/>
    <x v="5"/>
    <x v="1"/>
    <s v="Red"/>
    <s v="Phone"/>
    <n v="6"/>
    <x v="9"/>
    <x v="0"/>
    <s v="No commission"/>
    <s v="sales.EDGAR@email.com"/>
  </r>
  <r>
    <x v="205"/>
    <x v="3"/>
    <x v="0"/>
    <s v="Blue"/>
    <s v="Phone"/>
    <n v="1"/>
    <x v="12"/>
    <x v="0"/>
    <s v="No commission"/>
    <s v="sales.HARRY@email.com"/>
  </r>
  <r>
    <x v="206"/>
    <x v="1"/>
    <x v="1"/>
    <s v="Blue"/>
    <s v="Website"/>
    <n v="3"/>
    <x v="20"/>
    <x v="0"/>
    <s v="No commission"/>
    <s v="sales.PETE@email.com"/>
  </r>
  <r>
    <x v="207"/>
    <x v="3"/>
    <x v="2"/>
    <s v="Green"/>
    <s v="Website"/>
    <n v="3"/>
    <x v="22"/>
    <x v="0"/>
    <s v="No commission"/>
    <s v="sales.HARRY@email.com"/>
  </r>
  <r>
    <x v="208"/>
    <x v="4"/>
    <x v="1"/>
    <s v="Blue"/>
    <s v="Phone"/>
    <n v="8"/>
    <x v="1"/>
    <x v="0"/>
    <n v="4.8000000000000007"/>
    <s v="sales.MARIO@email.com"/>
  </r>
  <r>
    <x v="209"/>
    <x v="2"/>
    <x v="3"/>
    <s v="Silver"/>
    <s v="Website"/>
    <n v="3"/>
    <x v="25"/>
    <x v="0"/>
    <s v="No commission"/>
    <s v="sales.LAUREN@email.com"/>
  </r>
  <r>
    <x v="210"/>
    <x v="5"/>
    <x v="0"/>
    <s v="Blue"/>
    <s v="Phone"/>
    <n v="7"/>
    <x v="3"/>
    <x v="0"/>
    <n v="4.2"/>
    <s v="sales.EDGAR@email.com"/>
  </r>
  <r>
    <x v="211"/>
    <x v="1"/>
    <x v="0"/>
    <s v="Blue"/>
    <s v="Website"/>
    <n v="5"/>
    <x v="6"/>
    <x v="0"/>
    <s v="No commission"/>
    <s v="sales.PETE@email.com"/>
  </r>
  <r>
    <x v="212"/>
    <x v="1"/>
    <x v="2"/>
    <s v="Green"/>
    <s v="Live"/>
    <n v="4"/>
    <x v="21"/>
    <x v="0"/>
    <s v="No commission"/>
    <s v="sales.PETE@email.com"/>
  </r>
  <r>
    <x v="213"/>
    <x v="4"/>
    <x v="2"/>
    <s v="Red"/>
    <s v="Phone"/>
    <n v="5"/>
    <x v="11"/>
    <x v="0"/>
    <s v="No commission"/>
    <s v="sales.MARIO@email.com"/>
  </r>
  <r>
    <x v="214"/>
    <x v="1"/>
    <x v="0"/>
    <s v="Red"/>
    <s v="Phone"/>
    <n v="1"/>
    <x v="0"/>
    <x v="0"/>
    <s v="No commission"/>
    <s v="sales.PETE@email.com"/>
  </r>
  <r>
    <x v="215"/>
    <x v="3"/>
    <x v="2"/>
    <s v="Blue"/>
    <s v="Website"/>
    <n v="8"/>
    <x v="1"/>
    <x v="0"/>
    <n v="4.8000000000000007"/>
    <s v="sales.HARRY@email.com"/>
  </r>
  <r>
    <x v="216"/>
    <x v="5"/>
    <x v="2"/>
    <s v="Blue"/>
    <s v="Live"/>
    <n v="7"/>
    <x v="3"/>
    <x v="0"/>
    <n v="4.2"/>
    <s v="sales.EDGAR@email.com"/>
  </r>
  <r>
    <x v="217"/>
    <x v="2"/>
    <x v="0"/>
    <s v="Silver"/>
    <s v="Website"/>
    <n v="5"/>
    <x v="26"/>
    <x v="0"/>
    <n v="3.5"/>
    <s v="sales.LAUREN@email.com"/>
  </r>
  <r>
    <x v="218"/>
    <x v="1"/>
    <x v="0"/>
    <s v="Silver"/>
    <s v="Live"/>
    <n v="4"/>
    <x v="27"/>
    <x v="0"/>
    <s v="No commission"/>
    <s v="sales.PETE@email.com"/>
  </r>
  <r>
    <x v="219"/>
    <x v="2"/>
    <x v="0"/>
    <s v="Blue"/>
    <s v="Website"/>
    <n v="6"/>
    <x v="16"/>
    <x v="0"/>
    <n v="3.6"/>
    <s v="sales.LAUREN@email.com"/>
  </r>
  <r>
    <x v="220"/>
    <x v="1"/>
    <x v="3"/>
    <s v="Blue"/>
    <s v="Live"/>
    <n v="4"/>
    <x v="13"/>
    <x v="0"/>
    <s v="No commission"/>
    <s v="sales.PETE@email.com"/>
  </r>
  <r>
    <x v="221"/>
    <x v="3"/>
    <x v="2"/>
    <s v="Silver"/>
    <s v="Phone"/>
    <n v="4"/>
    <x v="27"/>
    <x v="0"/>
    <s v="No commission"/>
    <s v="sales.HARRY@email.com"/>
  </r>
  <r>
    <x v="222"/>
    <x v="5"/>
    <x v="0"/>
    <s v="Green"/>
    <s v="Live"/>
    <n v="1"/>
    <x v="7"/>
    <x v="0"/>
    <s v="No commission"/>
    <s v="sales.EDGAR@email.com"/>
  </r>
  <r>
    <x v="223"/>
    <x v="4"/>
    <x v="1"/>
    <s v="Green"/>
    <s v="Phone"/>
    <n v="8"/>
    <x v="4"/>
    <x v="0"/>
    <n v="5.2"/>
    <s v="sales.MARIO@email.com"/>
  </r>
  <r>
    <x v="224"/>
    <x v="5"/>
    <x v="0"/>
    <s v="Green"/>
    <s v="Live"/>
    <n v="1"/>
    <x v="7"/>
    <x v="0"/>
    <s v="No commission"/>
    <s v="sales.EDGAR@email.com"/>
  </r>
  <r>
    <x v="225"/>
    <x v="3"/>
    <x v="3"/>
    <s v="Blue"/>
    <s v="Phone"/>
    <n v="4"/>
    <x v="13"/>
    <x v="0"/>
    <s v="No commission"/>
    <s v="sales.HARRY@email.com"/>
  </r>
  <r>
    <x v="226"/>
    <x v="2"/>
    <x v="0"/>
    <s v="Silver"/>
    <s v="Live"/>
    <n v="1"/>
    <x v="28"/>
    <x v="0"/>
    <s v="No commission"/>
    <s v="sales.LAUREN@email.com"/>
  </r>
  <r>
    <x v="227"/>
    <x v="4"/>
    <x v="1"/>
    <s v="Silver"/>
    <s v="Phone"/>
    <n v="4"/>
    <x v="27"/>
    <x v="0"/>
    <s v="No commission"/>
    <s v="sales.MARIO@email.com"/>
  </r>
  <r>
    <x v="228"/>
    <x v="3"/>
    <x v="0"/>
    <s v="Red"/>
    <s v="Phone"/>
    <n v="8"/>
    <x v="8"/>
    <x v="0"/>
    <n v="4.4000000000000004"/>
    <s v="sales.HARRY@email.com"/>
  </r>
  <r>
    <x v="229"/>
    <x v="1"/>
    <x v="0"/>
    <s v="Silver"/>
    <s v="Live"/>
    <n v="4"/>
    <x v="27"/>
    <x v="0"/>
    <s v="No commission"/>
    <s v="sales.PETE@email.com"/>
  </r>
  <r>
    <x v="230"/>
    <x v="1"/>
    <x v="2"/>
    <s v="Green"/>
    <s v="Website"/>
    <n v="6"/>
    <x v="19"/>
    <x v="0"/>
    <n v="3.9000000000000004"/>
    <s v="sales.PETE@email.com"/>
  </r>
  <r>
    <x v="231"/>
    <x v="2"/>
    <x v="3"/>
    <s v="Silver"/>
    <s v="Live"/>
    <n v="8"/>
    <x v="29"/>
    <x v="0"/>
    <n v="5.6000000000000005"/>
    <s v="sales.LAUREN@email.com"/>
  </r>
  <r>
    <x v="232"/>
    <x v="3"/>
    <x v="2"/>
    <s v="Silver"/>
    <s v="Phone"/>
    <n v="3"/>
    <x v="25"/>
    <x v="0"/>
    <s v="No commission"/>
    <s v="sales.HARRY@email.com"/>
  </r>
  <r>
    <x v="233"/>
    <x v="5"/>
    <x v="2"/>
    <s v="Blue"/>
    <s v="Phone"/>
    <n v="2"/>
    <x v="15"/>
    <x v="0"/>
    <s v="No commission"/>
    <s v="sales.EDGAR@email.com"/>
  </r>
  <r>
    <x v="234"/>
    <x v="1"/>
    <x v="2"/>
    <s v="Blue"/>
    <s v="Live"/>
    <n v="7"/>
    <x v="3"/>
    <x v="0"/>
    <n v="4.2"/>
    <s v="sales.PETE@email.com"/>
  </r>
  <r>
    <x v="235"/>
    <x v="4"/>
    <x v="0"/>
    <s v="Green"/>
    <s v="Phone"/>
    <n v="1"/>
    <x v="7"/>
    <x v="0"/>
    <s v="No commission"/>
    <s v="sales.MARIO@email.com"/>
  </r>
  <r>
    <x v="236"/>
    <x v="1"/>
    <x v="2"/>
    <s v="Green"/>
    <s v="Website"/>
    <n v="5"/>
    <x v="10"/>
    <x v="0"/>
    <s v="No commission"/>
    <s v="sales.PETE@email.com"/>
  </r>
  <r>
    <x v="237"/>
    <x v="4"/>
    <x v="2"/>
    <s v="Red"/>
    <s v="Website"/>
    <n v="8"/>
    <x v="8"/>
    <x v="0"/>
    <n v="4.4000000000000004"/>
    <s v="sales.MARIO@email.com"/>
  </r>
  <r>
    <x v="238"/>
    <x v="2"/>
    <x v="0"/>
    <s v="Silver"/>
    <s v="Phone"/>
    <n v="8"/>
    <x v="29"/>
    <x v="0"/>
    <n v="5.6000000000000005"/>
    <s v="sales.LAUREN@email.com"/>
  </r>
  <r>
    <x v="239"/>
    <x v="5"/>
    <x v="0"/>
    <s v="Blue"/>
    <s v="Phone"/>
    <n v="3"/>
    <x v="20"/>
    <x v="0"/>
    <s v="No commission"/>
    <s v="sales.EDGAR@email.com"/>
  </r>
  <r>
    <x v="240"/>
    <x v="2"/>
    <x v="0"/>
    <s v="Red"/>
    <s v="Phone"/>
    <n v="2"/>
    <x v="5"/>
    <x v="0"/>
    <s v="No commission"/>
    <s v="sales.LAUREN@email.com"/>
  </r>
  <r>
    <x v="241"/>
    <x v="1"/>
    <x v="0"/>
    <s v="Blue"/>
    <s v="Website"/>
    <n v="1"/>
    <x v="12"/>
    <x v="0"/>
    <s v="No commission"/>
    <s v="sales.PETE@email.com"/>
  </r>
  <r>
    <x v="242"/>
    <x v="5"/>
    <x v="3"/>
    <s v="Blue"/>
    <s v="Phone"/>
    <n v="6"/>
    <x v="16"/>
    <x v="0"/>
    <n v="3.6"/>
    <s v="sales.EDGAR@email.com"/>
  </r>
  <r>
    <x v="243"/>
    <x v="2"/>
    <x v="1"/>
    <s v="Green"/>
    <s v="Live"/>
    <n v="1"/>
    <x v="7"/>
    <x v="0"/>
    <s v="No commission"/>
    <s v="sales.LAUREN@email.com"/>
  </r>
  <r>
    <x v="244"/>
    <x v="5"/>
    <x v="0"/>
    <s v="Green"/>
    <s v="Live"/>
    <n v="2"/>
    <x v="2"/>
    <x v="0"/>
    <s v="No commission"/>
    <s v="sales.EDGAR@email.com"/>
  </r>
  <r>
    <x v="245"/>
    <x v="4"/>
    <x v="0"/>
    <s v="Silver"/>
    <s v="Website"/>
    <n v="1"/>
    <x v="28"/>
    <x v="0"/>
    <s v="No commission"/>
    <s v="sales.MARIO@email.com"/>
  </r>
  <r>
    <x v="246"/>
    <x v="5"/>
    <x v="1"/>
    <s v="Blue"/>
    <s v="Phone"/>
    <n v="6"/>
    <x v="16"/>
    <x v="0"/>
    <n v="3.6"/>
    <s v="sales.EDGAR@email.com"/>
  </r>
  <r>
    <x v="247"/>
    <x v="5"/>
    <x v="1"/>
    <s v="Red"/>
    <s v="Phone"/>
    <n v="1"/>
    <x v="0"/>
    <x v="0"/>
    <s v="No commission"/>
    <s v="sales.EDGAR@email.com"/>
  </r>
  <r>
    <x v="248"/>
    <x v="4"/>
    <x v="0"/>
    <s v="Silver"/>
    <s v="Phone"/>
    <n v="5"/>
    <x v="26"/>
    <x v="0"/>
    <n v="3.5"/>
    <s v="sales.MARIO@email.com"/>
  </r>
  <r>
    <x v="249"/>
    <x v="1"/>
    <x v="2"/>
    <s v="Red"/>
    <s v="Website"/>
    <n v="7"/>
    <x v="23"/>
    <x v="0"/>
    <n v="3.85"/>
    <s v="sales.PETE@email.com"/>
  </r>
  <r>
    <x v="250"/>
    <x v="5"/>
    <x v="1"/>
    <s v="Silver"/>
    <s v="Phone"/>
    <n v="7"/>
    <x v="24"/>
    <x v="0"/>
    <n v="4.9000000000000004"/>
    <s v="sales.EDGAR@email.com"/>
  </r>
  <r>
    <x v="251"/>
    <x v="4"/>
    <x v="2"/>
    <s v="Silver"/>
    <s v="Phone"/>
    <n v="7"/>
    <x v="24"/>
    <x v="0"/>
    <n v="4.9000000000000004"/>
    <s v="sales.MARIO@email.com"/>
  </r>
  <r>
    <x v="252"/>
    <x v="1"/>
    <x v="1"/>
    <s v="Blue"/>
    <s v="Live"/>
    <n v="1"/>
    <x v="12"/>
    <x v="0"/>
    <s v="No commission"/>
    <s v="sales.PETE@email.com"/>
  </r>
  <r>
    <x v="253"/>
    <x v="2"/>
    <x v="2"/>
    <s v="Green"/>
    <s v="Phone"/>
    <n v="2"/>
    <x v="2"/>
    <x v="0"/>
    <s v="No commission"/>
    <s v="sales.LAUREN@email.com"/>
  </r>
  <r>
    <x v="254"/>
    <x v="1"/>
    <x v="1"/>
    <s v="Silver"/>
    <s v="Website"/>
    <n v="7"/>
    <x v="24"/>
    <x v="0"/>
    <n v="4.9000000000000004"/>
    <s v="sales.PETE@email.com"/>
  </r>
  <r>
    <x v="255"/>
    <x v="1"/>
    <x v="3"/>
    <s v="Red"/>
    <s v="Phone"/>
    <n v="2"/>
    <x v="5"/>
    <x v="0"/>
    <s v="No commission"/>
    <s v="sales.PETE@email.com"/>
  </r>
  <r>
    <x v="256"/>
    <x v="5"/>
    <x v="2"/>
    <s v="Green"/>
    <s v="Website"/>
    <n v="5"/>
    <x v="10"/>
    <x v="0"/>
    <s v="No commission"/>
    <s v="sales.EDGAR@email.com"/>
  </r>
  <r>
    <x v="257"/>
    <x v="3"/>
    <x v="3"/>
    <s v="Silver"/>
    <s v="Live"/>
    <n v="3"/>
    <x v="25"/>
    <x v="0"/>
    <s v="No commission"/>
    <s v="sales.HARRY@email.com"/>
  </r>
  <r>
    <x v="258"/>
    <x v="3"/>
    <x v="3"/>
    <s v="Silver"/>
    <s v="Website"/>
    <n v="8"/>
    <x v="29"/>
    <x v="0"/>
    <n v="5.6000000000000005"/>
    <s v="sales.HARRY@email.com"/>
  </r>
  <r>
    <x v="259"/>
    <x v="1"/>
    <x v="0"/>
    <s v="Green"/>
    <s v="Phone"/>
    <n v="6"/>
    <x v="19"/>
    <x v="0"/>
    <n v="3.9000000000000004"/>
    <s v="sales.PETE@email.com"/>
  </r>
  <r>
    <x v="260"/>
    <x v="4"/>
    <x v="1"/>
    <s v="Silver"/>
    <s v="Phone"/>
    <n v="5"/>
    <x v="26"/>
    <x v="0"/>
    <n v="3.5"/>
    <s v="sales.MARIO@email.com"/>
  </r>
  <r>
    <x v="261"/>
    <x v="5"/>
    <x v="1"/>
    <s v="Silver"/>
    <s v="Phone"/>
    <n v="1"/>
    <x v="28"/>
    <x v="0"/>
    <s v="No commission"/>
    <s v="sales.EDGAR@email.com"/>
  </r>
  <r>
    <x v="262"/>
    <x v="1"/>
    <x v="0"/>
    <s v="Blue"/>
    <s v="Website"/>
    <n v="3"/>
    <x v="20"/>
    <x v="0"/>
    <s v="No commission"/>
    <s v="sales.PETE@email.com"/>
  </r>
  <r>
    <x v="263"/>
    <x v="4"/>
    <x v="3"/>
    <s v="Silver"/>
    <s v="Live"/>
    <n v="1"/>
    <x v="28"/>
    <x v="0"/>
    <s v="No commission"/>
    <s v="sales.MARIO@email.com"/>
  </r>
  <r>
    <x v="264"/>
    <x v="5"/>
    <x v="2"/>
    <s v="Blue"/>
    <s v="Phone"/>
    <n v="4"/>
    <x v="13"/>
    <x v="0"/>
    <s v="No commission"/>
    <s v="sales.EDGAR@email.com"/>
  </r>
  <r>
    <x v="265"/>
    <x v="2"/>
    <x v="1"/>
    <s v="Silver"/>
    <s v="Phone"/>
    <n v="6"/>
    <x v="3"/>
    <x v="0"/>
    <n v="4.2"/>
    <s v="sales.LAUREN@email.com"/>
  </r>
  <r>
    <x v="266"/>
    <x v="2"/>
    <x v="3"/>
    <s v="Red"/>
    <s v="Live"/>
    <n v="1"/>
    <x v="0"/>
    <x v="0"/>
    <s v="No commission"/>
    <s v="sales.LAUREN@email.com"/>
  </r>
  <r>
    <x v="267"/>
    <x v="1"/>
    <x v="2"/>
    <s v="Silver"/>
    <s v="Live"/>
    <n v="4"/>
    <x v="27"/>
    <x v="0"/>
    <s v="No commission"/>
    <s v="sales.PETE@email.com"/>
  </r>
  <r>
    <x v="268"/>
    <x v="5"/>
    <x v="2"/>
    <s v="Red"/>
    <s v="Website"/>
    <n v="3"/>
    <x v="14"/>
    <x v="0"/>
    <s v="No commission"/>
    <s v="sales.EDGAR@email.com"/>
  </r>
  <r>
    <x v="269"/>
    <x v="3"/>
    <x v="1"/>
    <s v="Red"/>
    <s v="Phone"/>
    <n v="8"/>
    <x v="8"/>
    <x v="0"/>
    <n v="4.4000000000000004"/>
    <s v="sales.HARRY@email.com"/>
  </r>
  <r>
    <x v="270"/>
    <x v="1"/>
    <x v="2"/>
    <s v="Green"/>
    <s v="Live"/>
    <n v="4"/>
    <x v="21"/>
    <x v="0"/>
    <s v="No commission"/>
    <s v="sales.PETE@email.com"/>
  </r>
  <r>
    <x v="271"/>
    <x v="4"/>
    <x v="1"/>
    <s v="Silver"/>
    <s v="Website"/>
    <n v="6"/>
    <x v="3"/>
    <x v="0"/>
    <n v="4.2"/>
    <s v="sales.MARIO@email.com"/>
  </r>
  <r>
    <x v="272"/>
    <x v="1"/>
    <x v="2"/>
    <s v="Red"/>
    <s v="Phone"/>
    <n v="6"/>
    <x v="9"/>
    <x v="0"/>
    <s v="No commission"/>
    <s v="sales.PETE@email.com"/>
  </r>
  <r>
    <x v="273"/>
    <x v="5"/>
    <x v="3"/>
    <s v="Red"/>
    <s v="Phone"/>
    <n v="5"/>
    <x v="11"/>
    <x v="0"/>
    <s v="No commission"/>
    <s v="sales.EDGAR@email.com"/>
  </r>
  <r>
    <x v="274"/>
    <x v="4"/>
    <x v="0"/>
    <s v="Silver"/>
    <s v="Live"/>
    <n v="1"/>
    <x v="28"/>
    <x v="0"/>
    <s v="No commission"/>
    <s v="sales.MARIO@email.com"/>
  </r>
  <r>
    <x v="275"/>
    <x v="4"/>
    <x v="2"/>
    <s v="Red"/>
    <s v="Phone"/>
    <n v="3"/>
    <x v="20"/>
    <x v="0"/>
    <s v="No commission"/>
    <s v="sales.MARIO@email.com"/>
  </r>
  <r>
    <x v="276"/>
    <x v="5"/>
    <x v="0"/>
    <s v="Silver"/>
    <s v="Website"/>
    <n v="3"/>
    <x v="30"/>
    <x v="0"/>
    <s v="No commission"/>
    <s v="sales.EDGAR@email.com"/>
  </r>
  <r>
    <x v="277"/>
    <x v="3"/>
    <x v="3"/>
    <s v="Silver"/>
    <s v="Live"/>
    <n v="3"/>
    <x v="30"/>
    <x v="0"/>
    <s v="No commission"/>
    <s v="sales.HARRY@email.com"/>
  </r>
  <r>
    <x v="278"/>
    <x v="3"/>
    <x v="1"/>
    <s v="Red"/>
    <s v="Website"/>
    <n v="5"/>
    <x v="6"/>
    <x v="0"/>
    <s v="No commission"/>
    <s v="sales.HARRY@email.com"/>
  </r>
  <r>
    <x v="279"/>
    <x v="2"/>
    <x v="0"/>
    <s v="Red"/>
    <s v="Phone"/>
    <n v="2"/>
    <x v="15"/>
    <x v="0"/>
    <s v="No commission"/>
    <s v="sales.LAUREN@email.com"/>
  </r>
  <r>
    <x v="280"/>
    <x v="2"/>
    <x v="0"/>
    <s v="Red"/>
    <s v="Website"/>
    <n v="3"/>
    <x v="20"/>
    <x v="0"/>
    <s v="No commission"/>
    <s v="sales.LAUREN@email.com"/>
  </r>
  <r>
    <x v="281"/>
    <x v="5"/>
    <x v="2"/>
    <s v="Blue"/>
    <s v="Phone"/>
    <n v="6"/>
    <x v="19"/>
    <x v="0"/>
    <n v="3.9000000000000004"/>
    <s v="sales.EDGAR@email.com"/>
  </r>
  <r>
    <x v="282"/>
    <x v="4"/>
    <x v="2"/>
    <s v="Blue"/>
    <s v="Website"/>
    <n v="7"/>
    <x v="17"/>
    <x v="0"/>
    <n v="4.55"/>
    <s v="sales.MARIO@email.com"/>
  </r>
  <r>
    <x v="283"/>
    <x v="3"/>
    <x v="2"/>
    <s v="Silver"/>
    <s v="Phone"/>
    <n v="2"/>
    <x v="31"/>
    <x v="0"/>
    <s v="No commission"/>
    <s v="sales.HARRY@email.com"/>
  </r>
  <r>
    <x v="284"/>
    <x v="2"/>
    <x v="0"/>
    <s v="Silver"/>
    <s v="Website"/>
    <n v="7"/>
    <x v="32"/>
    <x v="0"/>
    <n v="5.25"/>
    <s v="sales.LAUREN@email.com"/>
  </r>
  <r>
    <x v="285"/>
    <x v="1"/>
    <x v="0"/>
    <s v="Silver"/>
    <s v="Live"/>
    <n v="7"/>
    <x v="32"/>
    <x v="0"/>
    <n v="5.25"/>
    <s v="sales.PETE@email.com"/>
  </r>
  <r>
    <x v="286"/>
    <x v="3"/>
    <x v="2"/>
    <s v="Red"/>
    <s v="Phone"/>
    <n v="1"/>
    <x v="12"/>
    <x v="0"/>
    <s v="No commission"/>
    <s v="sales.HARRY@email.com"/>
  </r>
  <r>
    <x v="287"/>
    <x v="2"/>
    <x v="1"/>
    <s v="Red"/>
    <s v="Phone"/>
    <n v="7"/>
    <x v="3"/>
    <x v="0"/>
    <n v="4.2"/>
    <s v="sales.LAUREN@email.com"/>
  </r>
  <r>
    <x v="288"/>
    <x v="1"/>
    <x v="2"/>
    <s v="Blue"/>
    <s v="Website"/>
    <n v="4"/>
    <x v="21"/>
    <x v="0"/>
    <s v="No commission"/>
    <s v="sales.PETE@email.com"/>
  </r>
  <r>
    <x v="289"/>
    <x v="1"/>
    <x v="2"/>
    <s v="Silver"/>
    <s v="Phone"/>
    <n v="7"/>
    <x v="32"/>
    <x v="0"/>
    <n v="5.25"/>
    <s v="sales.PETE@email.com"/>
  </r>
  <r>
    <x v="290"/>
    <x v="4"/>
    <x v="3"/>
    <s v="Red"/>
    <s v="Phone"/>
    <n v="7"/>
    <x v="3"/>
    <x v="0"/>
    <n v="4.2"/>
    <s v="sales.MARIO@email.com"/>
  </r>
  <r>
    <x v="291"/>
    <x v="3"/>
    <x v="0"/>
    <s v="Red"/>
    <s v="Live"/>
    <n v="4"/>
    <x v="13"/>
    <x v="0"/>
    <s v="No commission"/>
    <s v="sales.HARRY@email.com"/>
  </r>
  <r>
    <x v="292"/>
    <x v="3"/>
    <x v="2"/>
    <s v="Blue"/>
    <s v="Phone"/>
    <n v="8"/>
    <x v="4"/>
    <x v="0"/>
    <n v="5.2"/>
    <s v="sales.HARRY@email.com"/>
  </r>
  <r>
    <x v="293"/>
    <x v="5"/>
    <x v="1"/>
    <s v="Silver"/>
    <s v="Website"/>
    <n v="8"/>
    <x v="33"/>
    <x v="0"/>
    <n v="6"/>
    <s v="sales.EDGAR@email.com"/>
  </r>
  <r>
    <x v="294"/>
    <x v="5"/>
    <x v="2"/>
    <s v="Red"/>
    <s v="Phone"/>
    <n v="5"/>
    <x v="6"/>
    <x v="0"/>
    <s v="No commission"/>
    <s v="sales.EDGAR@email.com"/>
  </r>
  <r>
    <x v="295"/>
    <x v="1"/>
    <x v="1"/>
    <s v="Silver"/>
    <s v="Website"/>
    <n v="3"/>
    <x v="30"/>
    <x v="0"/>
    <s v="No commission"/>
    <s v="sales.PETE@email.com"/>
  </r>
  <r>
    <x v="296"/>
    <x v="3"/>
    <x v="0"/>
    <s v="Green"/>
    <s v="Phone"/>
    <n v="2"/>
    <x v="34"/>
    <x v="0"/>
    <s v="No commission"/>
    <s v="sales.HARRY@email.com"/>
  </r>
  <r>
    <x v="297"/>
    <x v="4"/>
    <x v="2"/>
    <s v="Silver"/>
    <s v="Live"/>
    <n v="5"/>
    <x v="35"/>
    <x v="0"/>
    <n v="3.75"/>
    <s v="sales.MARIO@email.com"/>
  </r>
  <r>
    <x v="298"/>
    <x v="5"/>
    <x v="0"/>
    <s v="Red"/>
    <s v="Phone"/>
    <n v="5"/>
    <x v="6"/>
    <x v="0"/>
    <s v="No commission"/>
    <s v="sales.EDGAR@email.com"/>
  </r>
  <r>
    <x v="299"/>
    <x v="1"/>
    <x v="2"/>
    <s v="Green"/>
    <s v="Live"/>
    <n v="7"/>
    <x v="24"/>
    <x v="0"/>
    <n v="4.9000000000000004"/>
    <s v="sales.PETE@email.com"/>
  </r>
  <r>
    <x v="300"/>
    <x v="2"/>
    <x v="2"/>
    <s v="Red"/>
    <s v="Phone"/>
    <n v="8"/>
    <x v="1"/>
    <x v="0"/>
    <n v="4.8000000000000007"/>
    <s v="sales.LAUREN@email.com"/>
  </r>
  <r>
    <x v="301"/>
    <x v="4"/>
    <x v="1"/>
    <s v="Blue"/>
    <s v="Live"/>
    <n v="1"/>
    <x v="7"/>
    <x v="0"/>
    <s v="No commission"/>
    <s v="sales.MARIO@email.com"/>
  </r>
  <r>
    <x v="302"/>
    <x v="1"/>
    <x v="0"/>
    <s v="Green"/>
    <s v="Website"/>
    <n v="5"/>
    <x v="26"/>
    <x v="0"/>
    <n v="3.5"/>
    <s v="sales.PETE@email.com"/>
  </r>
  <r>
    <x v="303"/>
    <x v="4"/>
    <x v="2"/>
    <s v="Silver"/>
    <s v="Website"/>
    <n v="7"/>
    <x v="32"/>
    <x v="0"/>
    <n v="5.25"/>
    <s v="sales.MARIO@email.com"/>
  </r>
  <r>
    <x v="304"/>
    <x v="5"/>
    <x v="2"/>
    <s v="Silver"/>
    <s v="Live"/>
    <n v="7"/>
    <x v="32"/>
    <x v="0"/>
    <n v="5.25"/>
    <s v="sales.EDGAR@email.com"/>
  </r>
  <r>
    <x v="305"/>
    <x v="2"/>
    <x v="2"/>
    <s v="Blue"/>
    <s v="Phone"/>
    <n v="4"/>
    <x v="21"/>
    <x v="0"/>
    <s v="No commission"/>
    <s v="sales.LAUREN@email.com"/>
  </r>
  <r>
    <x v="306"/>
    <x v="3"/>
    <x v="3"/>
    <s v="Silver"/>
    <s v="Website"/>
    <n v="3"/>
    <x v="30"/>
    <x v="0"/>
    <s v="No commission"/>
    <s v="sales.HARRY@email.com"/>
  </r>
  <r>
    <x v="307"/>
    <x v="5"/>
    <x v="0"/>
    <s v="Blue"/>
    <s v="Phone"/>
    <n v="1"/>
    <x v="7"/>
    <x v="0"/>
    <s v="No commission"/>
    <s v="sales.EDGAR@email.com"/>
  </r>
  <r>
    <x v="308"/>
    <x v="5"/>
    <x v="1"/>
    <s v="Green"/>
    <s v="Live"/>
    <n v="5"/>
    <x v="26"/>
    <x v="0"/>
    <n v="3.5"/>
    <s v="sales.EDGAR@email.com"/>
  </r>
  <r>
    <x v="309"/>
    <x v="1"/>
    <x v="3"/>
    <s v="Blue"/>
    <s v="Phone"/>
    <n v="1"/>
    <x v="7"/>
    <x v="0"/>
    <s v="No commission"/>
    <s v="sales.PETE@email.com"/>
  </r>
  <r>
    <x v="310"/>
    <x v="3"/>
    <x v="2"/>
    <s v="Red"/>
    <s v="Phone"/>
    <n v="5"/>
    <x v="6"/>
    <x v="0"/>
    <s v="No commission"/>
    <s v="sales.HARRY@email.com"/>
  </r>
  <r>
    <x v="311"/>
    <x v="4"/>
    <x v="1"/>
    <s v="Blue"/>
    <s v="Live"/>
    <n v="5"/>
    <x v="10"/>
    <x v="0"/>
    <s v="No commission"/>
    <s v="sales.MARIO@email.com"/>
  </r>
  <r>
    <x v="312"/>
    <x v="5"/>
    <x v="0"/>
    <s v="Blue"/>
    <s v="Website"/>
    <n v="2"/>
    <x v="2"/>
    <x v="0"/>
    <s v="No commission"/>
    <s v="sales.EDGAR@email.com"/>
  </r>
  <r>
    <x v="313"/>
    <x v="1"/>
    <x v="0"/>
    <s v="Green"/>
    <s v="Website"/>
    <n v="7"/>
    <x v="24"/>
    <x v="0"/>
    <n v="4.9000000000000004"/>
    <s v="sales.PETE@email.com"/>
  </r>
  <r>
    <x v="314"/>
    <x v="4"/>
    <x v="2"/>
    <s v="Silver"/>
    <s v="Website"/>
    <n v="8"/>
    <x v="33"/>
    <x v="0"/>
    <n v="6"/>
    <s v="sales.MARIO@email.com"/>
  </r>
  <r>
    <x v="315"/>
    <x v="2"/>
    <x v="0"/>
    <s v="Silver"/>
    <s v="Phone"/>
    <n v="4"/>
    <x v="6"/>
    <x v="0"/>
    <s v="No commission"/>
    <s v="sales.LAUREN@email.com"/>
  </r>
  <r>
    <x v="316"/>
    <x v="3"/>
    <x v="2"/>
    <s v="Silver"/>
    <s v="Phone"/>
    <n v="4"/>
    <x v="6"/>
    <x v="0"/>
    <s v="No commission"/>
    <s v="sales.HARRY@email.com"/>
  </r>
  <r>
    <x v="317"/>
    <x v="3"/>
    <x v="1"/>
    <s v="Silver"/>
    <s v="Phone"/>
    <n v="7"/>
    <x v="32"/>
    <x v="0"/>
    <n v="5.25"/>
    <s v="sales.HARRY@email.com"/>
  </r>
  <r>
    <x v="318"/>
    <x v="1"/>
    <x v="2"/>
    <s v="Red"/>
    <s v="Phone"/>
    <n v="2"/>
    <x v="15"/>
    <x v="0"/>
    <s v="No commission"/>
    <s v="sales.PETE@email.com"/>
  </r>
  <r>
    <x v="319"/>
    <x v="5"/>
    <x v="0"/>
    <s v="Blue"/>
    <s v="Phone"/>
    <n v="3"/>
    <x v="22"/>
    <x v="0"/>
    <s v="No commission"/>
    <s v="sales.EDGAR@email.com"/>
  </r>
  <r>
    <x v="320"/>
    <x v="4"/>
    <x v="0"/>
    <s v="Blue"/>
    <s v="Website"/>
    <n v="5"/>
    <x v="10"/>
    <x v="0"/>
    <s v="No commission"/>
    <s v="sales.MARIO@email.com"/>
  </r>
  <r>
    <x v="321"/>
    <x v="3"/>
    <x v="1"/>
    <s v="Red"/>
    <s v="Live"/>
    <n v="1"/>
    <x v="12"/>
    <x v="0"/>
    <s v="No commission"/>
    <s v="sales.HARRY@email.com"/>
  </r>
  <r>
    <x v="322"/>
    <x v="1"/>
    <x v="2"/>
    <s v="Red"/>
    <s v="Phone"/>
    <n v="4"/>
    <x v="13"/>
    <x v="0"/>
    <s v="No commission"/>
    <s v="sales.PETE@email.com"/>
  </r>
  <r>
    <x v="323"/>
    <x v="5"/>
    <x v="2"/>
    <s v="Red"/>
    <s v="Live"/>
    <n v="7"/>
    <x v="3"/>
    <x v="0"/>
    <n v="4.2"/>
    <s v="sales.EDGAR@email.com"/>
  </r>
  <r>
    <x v="324"/>
    <x v="2"/>
    <x v="2"/>
    <s v="Red"/>
    <s v="Phone"/>
    <n v="7"/>
    <x v="3"/>
    <x v="0"/>
    <n v="4.2"/>
    <s v="sales.LAUREN@email.com"/>
  </r>
  <r>
    <x v="325"/>
    <x v="3"/>
    <x v="3"/>
    <s v="Silver"/>
    <s v="Website"/>
    <n v="3"/>
    <x v="30"/>
    <x v="0"/>
    <s v="No commission"/>
    <s v="sales.HARRY@email.com"/>
  </r>
  <r>
    <x v="326"/>
    <x v="1"/>
    <x v="0"/>
    <s v="Green"/>
    <s v="Phone"/>
    <n v="4"/>
    <x v="27"/>
    <x v="0"/>
    <s v="No commission"/>
    <s v="sales.PETE@email.com"/>
  </r>
  <r>
    <x v="327"/>
    <x v="1"/>
    <x v="0"/>
    <s v="Green"/>
    <s v="Live"/>
    <n v="7"/>
    <x v="24"/>
    <x v="0"/>
    <n v="4.9000000000000004"/>
    <s v="sales.PETE@email.com"/>
  </r>
  <r>
    <x v="328"/>
    <x v="3"/>
    <x v="0"/>
    <s v="Silver"/>
    <s v="Website"/>
    <n v="5"/>
    <x v="35"/>
    <x v="0"/>
    <n v="3.75"/>
    <s v="sales.HARRY@email.com"/>
  </r>
  <r>
    <x v="329"/>
    <x v="4"/>
    <x v="0"/>
    <s v="Red"/>
    <s v="Live"/>
    <n v="3"/>
    <x v="20"/>
    <x v="0"/>
    <s v="No commission"/>
    <s v="sales.MARIO@email.com"/>
  </r>
  <r>
    <x v="330"/>
    <x v="5"/>
    <x v="1"/>
    <s v="Red"/>
    <s v="Live"/>
    <n v="5"/>
    <x v="6"/>
    <x v="0"/>
    <s v="No commission"/>
    <s v="sales.EDGAR@email.com"/>
  </r>
  <r>
    <x v="331"/>
    <x v="1"/>
    <x v="1"/>
    <s v="Silver"/>
    <s v="Website"/>
    <n v="5"/>
    <x v="35"/>
    <x v="0"/>
    <n v="3.75"/>
    <s v="sales.PETE@email.com"/>
  </r>
  <r>
    <x v="332"/>
    <x v="2"/>
    <x v="2"/>
    <s v="Silver"/>
    <s v="Phone"/>
    <n v="7"/>
    <x v="32"/>
    <x v="0"/>
    <n v="5.25"/>
    <s v="sales.LAUREN@email.com"/>
  </r>
  <r>
    <x v="333"/>
    <x v="1"/>
    <x v="2"/>
    <s v="Silver"/>
    <s v="Live"/>
    <n v="8"/>
    <x v="33"/>
    <x v="0"/>
    <n v="6"/>
    <s v="sales.PETE@email.com"/>
  </r>
  <r>
    <x v="334"/>
    <x v="4"/>
    <x v="2"/>
    <s v="Red"/>
    <s v="Phone"/>
    <n v="4"/>
    <x v="13"/>
    <x v="0"/>
    <s v="No commission"/>
    <s v="sales.MARIO@email.com"/>
  </r>
  <r>
    <x v="335"/>
    <x v="3"/>
    <x v="0"/>
    <s v="Red"/>
    <s v="Website"/>
    <n v="6"/>
    <x v="16"/>
    <x v="0"/>
    <n v="3.6"/>
    <s v="sales.HARRY@email.com"/>
  </r>
  <r>
    <x v="336"/>
    <x v="2"/>
    <x v="2"/>
    <s v="Silver"/>
    <s v="Live"/>
    <n v="3"/>
    <x v="30"/>
    <x v="0"/>
    <s v="No commission"/>
    <s v="sales.LAUREN@email.com"/>
  </r>
  <r>
    <x v="337"/>
    <x v="5"/>
    <x v="0"/>
    <s v="Blue"/>
    <s v="Website"/>
    <n v="4"/>
    <x v="21"/>
    <x v="0"/>
    <s v="No commission"/>
    <s v="sales.EDGAR@email.com"/>
  </r>
  <r>
    <x v="338"/>
    <x v="5"/>
    <x v="3"/>
    <s v="Green"/>
    <s v="Phone"/>
    <n v="5"/>
    <x v="26"/>
    <x v="0"/>
    <n v="3.5"/>
    <s v="sales.EDGAR@email.com"/>
  </r>
  <r>
    <x v="339"/>
    <x v="1"/>
    <x v="2"/>
    <s v="Silver"/>
    <s v="Website"/>
    <n v="2"/>
    <x v="31"/>
    <x v="0"/>
    <s v="No commission"/>
    <s v="sales.PETE@email.com"/>
  </r>
  <r>
    <x v="340"/>
    <x v="3"/>
    <x v="1"/>
    <s v="Silver"/>
    <s v="Phone"/>
    <n v="2"/>
    <x v="31"/>
    <x v="0"/>
    <s v="No commission"/>
    <s v="sales.HARRY@email.com"/>
  </r>
  <r>
    <x v="341"/>
    <x v="2"/>
    <x v="1"/>
    <s v="Silver"/>
    <s v="Website"/>
    <n v="1"/>
    <x v="36"/>
    <x v="0"/>
    <s v="No commission"/>
    <s v="sales.LAUREN@email.com"/>
  </r>
  <r>
    <x v="342"/>
    <x v="1"/>
    <x v="1"/>
    <s v="Blue"/>
    <s v="Live"/>
    <n v="8"/>
    <x v="4"/>
    <x v="0"/>
    <n v="5.2"/>
    <s v="sales.PETE@email.com"/>
  </r>
  <r>
    <x v="343"/>
    <x v="3"/>
    <x v="0"/>
    <s v="Green"/>
    <s v="Live"/>
    <n v="1"/>
    <x v="28"/>
    <x v="0"/>
    <s v="No commission"/>
    <s v="sales.HARRY@email.com"/>
  </r>
  <r>
    <x v="344"/>
    <x v="3"/>
    <x v="0"/>
    <s v="Silver"/>
    <s v="Phone"/>
    <n v="7"/>
    <x v="32"/>
    <x v="0"/>
    <n v="5.25"/>
    <s v="sales.HARRY@email.com"/>
  </r>
  <r>
    <x v="345"/>
    <x v="1"/>
    <x v="2"/>
    <s v="Silver"/>
    <s v="Website"/>
    <n v="4"/>
    <x v="6"/>
    <x v="0"/>
    <s v="No commission"/>
    <s v="sales.PETE@email.com"/>
  </r>
  <r>
    <x v="346"/>
    <x v="3"/>
    <x v="0"/>
    <s v="Red"/>
    <s v="Phone"/>
    <n v="3"/>
    <x v="20"/>
    <x v="0"/>
    <s v="No commission"/>
    <s v="sales.HARRY@email.com"/>
  </r>
  <r>
    <x v="347"/>
    <x v="5"/>
    <x v="1"/>
    <s v="Blue"/>
    <s v="Live"/>
    <n v="2"/>
    <x v="2"/>
    <x v="0"/>
    <s v="No commission"/>
    <s v="sales.EDGAR@email.com"/>
  </r>
  <r>
    <x v="348"/>
    <x v="3"/>
    <x v="3"/>
    <s v="Silver"/>
    <s v="Website"/>
    <n v="6"/>
    <x v="37"/>
    <x v="0"/>
    <n v="4.5"/>
    <s v="sales.HARRY@email.com"/>
  </r>
  <r>
    <x v="349"/>
    <x v="1"/>
    <x v="0"/>
    <s v="Green"/>
    <s v="Website"/>
    <n v="5"/>
    <x v="26"/>
    <x v="0"/>
    <n v="3.5"/>
    <s v="sales.PETE@email.com"/>
  </r>
  <r>
    <x v="350"/>
    <x v="1"/>
    <x v="0"/>
    <s v="Silver"/>
    <s v="Phone"/>
    <n v="7"/>
    <x v="32"/>
    <x v="0"/>
    <n v="5.25"/>
    <s v="sales.PETE@email.com"/>
  </r>
  <r>
    <x v="351"/>
    <x v="1"/>
    <x v="3"/>
    <s v="Green"/>
    <s v="Phone"/>
    <n v="7"/>
    <x v="24"/>
    <x v="0"/>
    <n v="4.9000000000000004"/>
    <s v="sales.PETE@email.com"/>
  </r>
  <r>
    <x v="352"/>
    <x v="4"/>
    <x v="2"/>
    <s v="Green"/>
    <s v="Website"/>
    <n v="1"/>
    <x v="28"/>
    <x v="0"/>
    <s v="No commission"/>
    <s v="sales.MARIO@email.com"/>
  </r>
  <r>
    <x v="353"/>
    <x v="1"/>
    <x v="2"/>
    <s v="Blue"/>
    <s v="Website"/>
    <n v="2"/>
    <x v="2"/>
    <x v="0"/>
    <s v="No commission"/>
    <s v="sales.PETE@email.com"/>
  </r>
  <r>
    <x v="354"/>
    <x v="5"/>
    <x v="0"/>
    <s v="Green"/>
    <s v="Website"/>
    <n v="3"/>
    <x v="25"/>
    <x v="0"/>
    <s v="No commission"/>
    <s v="sales.EDGAR@email.com"/>
  </r>
  <r>
    <x v="355"/>
    <x v="1"/>
    <x v="0"/>
    <s v="Silver"/>
    <s v="Phone"/>
    <n v="7"/>
    <x v="32"/>
    <x v="0"/>
    <n v="5.25"/>
    <s v="sales.PETE@email.com"/>
  </r>
  <r>
    <x v="356"/>
    <x v="4"/>
    <x v="0"/>
    <s v="Green"/>
    <s v="Website"/>
    <n v="7"/>
    <x v="24"/>
    <x v="0"/>
    <n v="4.9000000000000004"/>
    <s v="sales.MARIO@email.com"/>
  </r>
  <r>
    <x v="357"/>
    <x v="1"/>
    <x v="2"/>
    <s v="Green"/>
    <s v="Website"/>
    <n v="3"/>
    <x v="25"/>
    <x v="0"/>
    <s v="No commission"/>
    <s v="sales.PETE@email.com"/>
  </r>
  <r>
    <x v="358"/>
    <x v="2"/>
    <x v="2"/>
    <s v="Blue"/>
    <s v="Live"/>
    <n v="5"/>
    <x v="10"/>
    <x v="0"/>
    <s v="No commission"/>
    <s v="sales.LAUREN@email.com"/>
  </r>
  <r>
    <x v="359"/>
    <x v="1"/>
    <x v="3"/>
    <s v="Green"/>
    <s v="Website"/>
    <n v="3"/>
    <x v="25"/>
    <x v="0"/>
    <s v="No commission"/>
    <s v="sales.PETE@email.com"/>
  </r>
  <r>
    <x v="360"/>
    <x v="4"/>
    <x v="3"/>
    <s v="Blue"/>
    <s v="Phone"/>
    <n v="4"/>
    <x v="21"/>
    <x v="0"/>
    <s v="No commission"/>
    <s v="sales.MARIO@email.com"/>
  </r>
  <r>
    <x v="361"/>
    <x v="1"/>
    <x v="0"/>
    <s v="Silver"/>
    <s v="Live"/>
    <n v="1"/>
    <x v="36"/>
    <x v="0"/>
    <s v="No commission"/>
    <s v="sales.PETE@email.com"/>
  </r>
  <r>
    <x v="362"/>
    <x v="1"/>
    <x v="0"/>
    <s v="Silver"/>
    <s v="Phone"/>
    <n v="8"/>
    <x v="33"/>
    <x v="0"/>
    <n v="6"/>
    <s v="sales.PETE@email.com"/>
  </r>
  <r>
    <x v="363"/>
    <x v="5"/>
    <x v="2"/>
    <s v="Red"/>
    <s v="Website"/>
    <n v="7"/>
    <x v="3"/>
    <x v="0"/>
    <n v="4.2"/>
    <s v="sales.EDGAR@email.com"/>
  </r>
  <r>
    <x v="364"/>
    <x v="5"/>
    <x v="2"/>
    <s v="Red"/>
    <s v="Live"/>
    <n v="4"/>
    <x v="13"/>
    <x v="0"/>
    <s v="No commission"/>
    <s v="sales.EDGAR@email.com"/>
  </r>
  <r>
    <x v="365"/>
    <x v="5"/>
    <x v="2"/>
    <s v="Silver"/>
    <s v="Website"/>
    <n v="7"/>
    <x v="32"/>
    <x v="0"/>
    <n v="5.25"/>
    <s v="sales.EDGAR@email.com"/>
  </r>
  <r>
    <x v="366"/>
    <x v="1"/>
    <x v="2"/>
    <s v="Blue"/>
    <s v="Website"/>
    <n v="8"/>
    <x v="4"/>
    <x v="0"/>
    <n v="5.2"/>
    <s v="sales.PETE@email.com"/>
  </r>
  <r>
    <x v="367"/>
    <x v="4"/>
    <x v="0"/>
    <s v="Blue"/>
    <s v="Live"/>
    <n v="8"/>
    <x v="4"/>
    <x v="0"/>
    <n v="5.2"/>
    <s v="sales.MARIO@email.com"/>
  </r>
  <r>
    <x v="368"/>
    <x v="3"/>
    <x v="2"/>
    <s v="Silver"/>
    <s v="Website"/>
    <n v="6"/>
    <x v="37"/>
    <x v="0"/>
    <n v="4.5"/>
    <s v="sales.HARRY@email.com"/>
  </r>
  <r>
    <x v="369"/>
    <x v="5"/>
    <x v="0"/>
    <s v="Silver"/>
    <s v="Live"/>
    <n v="5"/>
    <x v="35"/>
    <x v="0"/>
    <n v="3.75"/>
    <s v="sales.EDGAR@email.com"/>
  </r>
  <r>
    <x v="370"/>
    <x v="4"/>
    <x v="0"/>
    <s v="Blue"/>
    <s v="Live"/>
    <n v="4"/>
    <x v="21"/>
    <x v="0"/>
    <s v="No commission"/>
    <s v="sales.MARIO@email.com"/>
  </r>
  <r>
    <x v="371"/>
    <x v="2"/>
    <x v="2"/>
    <s v="Green"/>
    <s v="Live"/>
    <n v="7"/>
    <x v="24"/>
    <x v="0"/>
    <n v="4.9000000000000004"/>
    <s v="sales.LAUREN@email.com"/>
  </r>
  <r>
    <x v="372"/>
    <x v="4"/>
    <x v="0"/>
    <s v="Green"/>
    <s v="Website"/>
    <n v="8"/>
    <x v="29"/>
    <x v="0"/>
    <n v="5.6000000000000005"/>
    <s v="sales.MARIO@email.com"/>
  </r>
  <r>
    <x v="373"/>
    <x v="4"/>
    <x v="1"/>
    <s v="Green"/>
    <s v="Live"/>
    <n v="8"/>
    <x v="29"/>
    <x v="0"/>
    <n v="5.6000000000000005"/>
    <s v="sales.MARIO@email.com"/>
  </r>
  <r>
    <x v="374"/>
    <x v="2"/>
    <x v="2"/>
    <s v="Blue"/>
    <s v="Phone"/>
    <n v="2"/>
    <x v="2"/>
    <x v="0"/>
    <s v="No commission"/>
    <s v="sales.LAUREN@email.com"/>
  </r>
  <r>
    <x v="375"/>
    <x v="2"/>
    <x v="1"/>
    <s v="Red"/>
    <s v="Phone"/>
    <n v="1"/>
    <x v="12"/>
    <x v="0"/>
    <s v="No commission"/>
    <s v="sales.LAUREN@email.com"/>
  </r>
  <r>
    <x v="376"/>
    <x v="5"/>
    <x v="2"/>
    <s v="Blue"/>
    <s v="Website"/>
    <n v="6"/>
    <x v="19"/>
    <x v="0"/>
    <n v="3.9000000000000004"/>
    <s v="sales.EDGAR@email.com"/>
  </r>
  <r>
    <x v="377"/>
    <x v="4"/>
    <x v="0"/>
    <s v="Silver"/>
    <s v="Website"/>
    <n v="1"/>
    <x v="36"/>
    <x v="0"/>
    <s v="No commission"/>
    <s v="sales.MARIO@email.com"/>
  </r>
  <r>
    <x v="378"/>
    <x v="1"/>
    <x v="0"/>
    <s v="Silver"/>
    <s v="Live"/>
    <n v="6"/>
    <x v="37"/>
    <x v="0"/>
    <n v="4.5"/>
    <s v="sales.PETE@email.com"/>
  </r>
  <r>
    <x v="379"/>
    <x v="1"/>
    <x v="3"/>
    <s v="Blue"/>
    <s v="Live"/>
    <n v="4"/>
    <x v="21"/>
    <x v="0"/>
    <s v="No commission"/>
    <s v="sales.PETE@email.com"/>
  </r>
  <r>
    <x v="380"/>
    <x v="1"/>
    <x v="0"/>
    <s v="Green"/>
    <s v="Phone"/>
    <n v="8"/>
    <x v="29"/>
    <x v="0"/>
    <n v="5.6000000000000005"/>
    <s v="sales.PETE@email.com"/>
  </r>
  <r>
    <x v="381"/>
    <x v="4"/>
    <x v="1"/>
    <s v="Red"/>
    <s v="Website"/>
    <n v="6"/>
    <x v="16"/>
    <x v="0"/>
    <n v="3.6"/>
    <s v="sales.MARIO@email.com"/>
  </r>
  <r>
    <x v="382"/>
    <x v="3"/>
    <x v="1"/>
    <s v="Silver"/>
    <s v="Live"/>
    <n v="3"/>
    <x v="30"/>
    <x v="0"/>
    <s v="No commission"/>
    <s v="sales.HARRY@email.com"/>
  </r>
  <r>
    <x v="383"/>
    <x v="2"/>
    <x v="2"/>
    <s v="Green"/>
    <s v="Website"/>
    <n v="1"/>
    <x v="28"/>
    <x v="0"/>
    <s v="No commission"/>
    <s v="sales.LAUREN@email.com"/>
  </r>
  <r>
    <x v="384"/>
    <x v="2"/>
    <x v="3"/>
    <s v="Silver"/>
    <s v="Phone"/>
    <n v="3"/>
    <x v="30"/>
    <x v="0"/>
    <s v="No commission"/>
    <s v="sales.LAUREN@email.com"/>
  </r>
  <r>
    <x v="385"/>
    <x v="5"/>
    <x v="0"/>
    <s v="Blue"/>
    <s v="Live"/>
    <n v="3"/>
    <x v="22"/>
    <x v="0"/>
    <s v="No commission"/>
    <s v="sales.EDGAR@email.com"/>
  </r>
  <r>
    <x v="386"/>
    <x v="5"/>
    <x v="0"/>
    <s v="Silver"/>
    <s v="Website"/>
    <n v="4"/>
    <x v="6"/>
    <x v="0"/>
    <s v="No commission"/>
    <s v="sales.EDGAR@email.com"/>
  </r>
  <r>
    <x v="387"/>
    <x v="5"/>
    <x v="2"/>
    <s v="Green"/>
    <s v="Live"/>
    <n v="7"/>
    <x v="24"/>
    <x v="0"/>
    <n v="4.9000000000000004"/>
    <s v="sales.EDGAR@email.com"/>
  </r>
  <r>
    <x v="388"/>
    <x v="1"/>
    <x v="2"/>
    <s v="Silver"/>
    <s v="Phone"/>
    <n v="8"/>
    <x v="33"/>
    <x v="0"/>
    <n v="6"/>
    <s v="sales.PETE@email.com"/>
  </r>
  <r>
    <x v="389"/>
    <x v="3"/>
    <x v="0"/>
    <s v="Red"/>
    <s v="Live"/>
    <n v="2"/>
    <x v="15"/>
    <x v="0"/>
    <s v="No commission"/>
    <s v="sales.HARRY@email.com"/>
  </r>
  <r>
    <x v="390"/>
    <x v="2"/>
    <x v="0"/>
    <s v="Silver"/>
    <s v="Phone"/>
    <n v="2"/>
    <x v="31"/>
    <x v="0"/>
    <s v="No commission"/>
    <s v="sales.LAUREN@email.com"/>
  </r>
  <r>
    <x v="391"/>
    <x v="4"/>
    <x v="0"/>
    <s v="Blue"/>
    <s v="Website"/>
    <n v="7"/>
    <x v="17"/>
    <x v="0"/>
    <n v="4.55"/>
    <s v="sales.MARIO@email.com"/>
  </r>
  <r>
    <x v="392"/>
    <x v="2"/>
    <x v="2"/>
    <s v="Silver"/>
    <s v="Phone"/>
    <n v="6"/>
    <x v="37"/>
    <x v="0"/>
    <n v="4.5"/>
    <s v="sales.LAUREN@email.com"/>
  </r>
  <r>
    <x v="393"/>
    <x v="2"/>
    <x v="3"/>
    <s v="Red"/>
    <s v="Website"/>
    <n v="8"/>
    <x v="1"/>
    <x v="0"/>
    <n v="4.8000000000000007"/>
    <s v="sales.LAUREN@email.com"/>
  </r>
  <r>
    <x v="394"/>
    <x v="3"/>
    <x v="2"/>
    <s v="Green"/>
    <s v="Live"/>
    <n v="6"/>
    <x v="3"/>
    <x v="0"/>
    <n v="4.2"/>
    <s v="sales.HARRY@email.com"/>
  </r>
  <r>
    <x v="395"/>
    <x v="3"/>
    <x v="2"/>
    <s v="Silver"/>
    <s v="Phone"/>
    <n v="8"/>
    <x v="33"/>
    <x v="0"/>
    <n v="6"/>
    <s v="sales.HARRY@email.com"/>
  </r>
  <r>
    <x v="396"/>
    <x v="1"/>
    <x v="1"/>
    <s v="Green"/>
    <s v="Phone"/>
    <n v="1"/>
    <x v="28"/>
    <x v="0"/>
    <s v="No commission"/>
    <s v="sales.PETE@email.com"/>
  </r>
  <r>
    <x v="397"/>
    <x v="1"/>
    <x v="0"/>
    <s v="Silver"/>
    <s v="Live"/>
    <n v="7"/>
    <x v="32"/>
    <x v="0"/>
    <n v="5.25"/>
    <s v="sales.PETE@email.com"/>
  </r>
  <r>
    <x v="398"/>
    <x v="1"/>
    <x v="0"/>
    <s v="Blue"/>
    <s v="Website"/>
    <n v="5"/>
    <x v="10"/>
    <x v="0"/>
    <s v="No commission"/>
    <s v="sales.PETE@email.com"/>
  </r>
  <r>
    <x v="399"/>
    <x v="4"/>
    <x v="1"/>
    <s v="Silver"/>
    <s v="Website"/>
    <n v="1"/>
    <x v="36"/>
    <x v="0"/>
    <s v="No commission"/>
    <s v="sales.MARIO@email.com"/>
  </r>
  <r>
    <x v="400"/>
    <x v="1"/>
    <x v="2"/>
    <s v="Silver"/>
    <s v="Live"/>
    <n v="8"/>
    <x v="33"/>
    <x v="0"/>
    <n v="6"/>
    <s v="sales.PETE@email.com"/>
  </r>
  <r>
    <x v="401"/>
    <x v="1"/>
    <x v="3"/>
    <s v="Blue"/>
    <s v="Phone"/>
    <n v="6"/>
    <x v="19"/>
    <x v="0"/>
    <n v="3.9000000000000004"/>
    <s v="sales.PETE@email.com"/>
  </r>
  <r>
    <x v="402"/>
    <x v="5"/>
    <x v="0"/>
    <s v="Silver"/>
    <s v="Website"/>
    <n v="6"/>
    <x v="37"/>
    <x v="0"/>
    <n v="4.5"/>
    <s v="sales.EDGAR@email.com"/>
  </r>
  <r>
    <x v="403"/>
    <x v="1"/>
    <x v="0"/>
    <s v="Green"/>
    <s v="Live"/>
    <n v="5"/>
    <x v="26"/>
    <x v="0"/>
    <n v="3.5"/>
    <s v="sales.PETE@email.com"/>
  </r>
  <r>
    <x v="404"/>
    <x v="3"/>
    <x v="0"/>
    <s v="Silver"/>
    <s v="Phone"/>
    <n v="5"/>
    <x v="35"/>
    <x v="0"/>
    <n v="3.75"/>
    <s v="sales.HARRY@email.com"/>
  </r>
  <r>
    <x v="405"/>
    <x v="3"/>
    <x v="2"/>
    <s v="Green"/>
    <s v="Live"/>
    <n v="1"/>
    <x v="28"/>
    <x v="0"/>
    <s v="No commission"/>
    <s v="sales.HARRY@email.com"/>
  </r>
  <r>
    <x v="406"/>
    <x v="5"/>
    <x v="0"/>
    <s v="Blue"/>
    <s v="Website"/>
    <n v="7"/>
    <x v="17"/>
    <x v="0"/>
    <n v="4.55"/>
    <s v="sales.EDGAR@email.com"/>
  </r>
  <r>
    <x v="407"/>
    <x v="2"/>
    <x v="0"/>
    <s v="Green"/>
    <s v="Live"/>
    <n v="5"/>
    <x v="26"/>
    <x v="0"/>
    <n v="3.5"/>
    <s v="sales.LAUREN@email.com"/>
  </r>
  <r>
    <x v="408"/>
    <x v="5"/>
    <x v="0"/>
    <s v="Blue"/>
    <s v="Phone"/>
    <n v="5"/>
    <x v="10"/>
    <x v="0"/>
    <s v="No commission"/>
    <s v="sales.EDGAR@email.com"/>
  </r>
  <r>
    <x v="409"/>
    <x v="4"/>
    <x v="2"/>
    <s v="Red"/>
    <s v="Website"/>
    <n v="5"/>
    <x v="6"/>
    <x v="0"/>
    <s v="No commission"/>
    <s v="sales.MARIO@email.com"/>
  </r>
  <r>
    <x v="410"/>
    <x v="1"/>
    <x v="1"/>
    <s v="Silver"/>
    <s v="Phone"/>
    <n v="4"/>
    <x v="6"/>
    <x v="0"/>
    <s v="No commission"/>
    <s v="sales.PETE@email.com"/>
  </r>
  <r>
    <x v="411"/>
    <x v="4"/>
    <x v="0"/>
    <s v="Red"/>
    <s v="Phone"/>
    <n v="6"/>
    <x v="16"/>
    <x v="0"/>
    <n v="3.6"/>
    <s v="sales.MARIO@email.com"/>
  </r>
  <r>
    <x v="412"/>
    <x v="1"/>
    <x v="1"/>
    <s v="Green"/>
    <s v="Live"/>
    <n v="5"/>
    <x v="26"/>
    <x v="0"/>
    <n v="3.5"/>
    <s v="sales.PETE@email.com"/>
  </r>
  <r>
    <x v="413"/>
    <x v="1"/>
    <x v="0"/>
    <s v="Silver"/>
    <s v="Phone"/>
    <n v="8"/>
    <x v="33"/>
    <x v="0"/>
    <n v="6"/>
    <s v="sales.PETE@email.com"/>
  </r>
  <r>
    <x v="414"/>
    <x v="1"/>
    <x v="0"/>
    <s v="Silver"/>
    <s v="Website"/>
    <n v="5"/>
    <x v="35"/>
    <x v="0"/>
    <n v="3.75"/>
    <s v="sales.PETE@email.com"/>
  </r>
  <r>
    <x v="415"/>
    <x v="2"/>
    <x v="0"/>
    <s v="Green"/>
    <s v="Website"/>
    <n v="8"/>
    <x v="29"/>
    <x v="0"/>
    <n v="5.6000000000000005"/>
    <s v="sales.LAUREN@email.com"/>
  </r>
  <r>
    <x v="416"/>
    <x v="5"/>
    <x v="2"/>
    <s v="Red"/>
    <s v="Live"/>
    <n v="3"/>
    <x v="20"/>
    <x v="0"/>
    <s v="No commission"/>
    <s v="sales.EDGAR@email.com"/>
  </r>
  <r>
    <x v="417"/>
    <x v="1"/>
    <x v="3"/>
    <s v="Blue"/>
    <s v="Phone"/>
    <n v="2"/>
    <x v="2"/>
    <x v="0"/>
    <s v="No commission"/>
    <s v="sales.PETE@email.com"/>
  </r>
  <r>
    <x v="418"/>
    <x v="1"/>
    <x v="2"/>
    <s v="Silver"/>
    <s v="Live"/>
    <n v="3"/>
    <x v="30"/>
    <x v="0"/>
    <s v="No commission"/>
    <s v="sales.PETE@email.com"/>
  </r>
  <r>
    <x v="419"/>
    <x v="4"/>
    <x v="2"/>
    <s v="Red"/>
    <s v="Phone"/>
    <n v="3"/>
    <x v="20"/>
    <x v="0"/>
    <s v="No commission"/>
    <s v="sales.MARIO@email.com"/>
  </r>
  <r>
    <x v="420"/>
    <x v="1"/>
    <x v="2"/>
    <s v="Silver"/>
    <s v="Website"/>
    <n v="8"/>
    <x v="33"/>
    <x v="0"/>
    <n v="6"/>
    <s v="sales.PETE@email.com"/>
  </r>
  <r>
    <x v="421"/>
    <x v="4"/>
    <x v="0"/>
    <s v="Silver"/>
    <s v="Website"/>
    <n v="2"/>
    <x v="31"/>
    <x v="0"/>
    <s v="No commission"/>
    <s v="sales.MARIO@email.com"/>
  </r>
  <r>
    <x v="422"/>
    <x v="3"/>
    <x v="2"/>
    <s v="Silver"/>
    <s v="Live"/>
    <n v="7"/>
    <x v="32"/>
    <x v="0"/>
    <n v="5.25"/>
    <s v="sales.HARRY@email.com"/>
  </r>
  <r>
    <x v="423"/>
    <x v="1"/>
    <x v="0"/>
    <s v="Silver"/>
    <s v="Phone"/>
    <n v="4"/>
    <x v="6"/>
    <x v="0"/>
    <s v="No commission"/>
    <s v="sales.PETE@email.com"/>
  </r>
  <r>
    <x v="424"/>
    <x v="1"/>
    <x v="3"/>
    <s v="Red"/>
    <s v="Live"/>
    <n v="1"/>
    <x v="12"/>
    <x v="0"/>
    <s v="No commission"/>
    <s v="sales.PETE@email.com"/>
  </r>
  <r>
    <x v="425"/>
    <x v="5"/>
    <x v="2"/>
    <s v="Silver"/>
    <s v="Phone"/>
    <n v="3"/>
    <x v="30"/>
    <x v="0"/>
    <s v="No commission"/>
    <s v="sales.EDGAR@email.com"/>
  </r>
  <r>
    <x v="426"/>
    <x v="1"/>
    <x v="0"/>
    <s v="Silver"/>
    <s v="Phone"/>
    <n v="7"/>
    <x v="32"/>
    <x v="0"/>
    <n v="5.25"/>
    <s v="sales.PETE@email.com"/>
  </r>
  <r>
    <x v="427"/>
    <x v="2"/>
    <x v="3"/>
    <s v="Red"/>
    <s v="Website"/>
    <n v="2"/>
    <x v="15"/>
    <x v="0"/>
    <s v="No commission"/>
    <s v="sales.LAUREN@email.com"/>
  </r>
  <r>
    <x v="428"/>
    <x v="1"/>
    <x v="2"/>
    <s v="Red"/>
    <s v="Live"/>
    <n v="3"/>
    <x v="20"/>
    <x v="0"/>
    <s v="No commission"/>
    <s v="sales.PETE@email.com"/>
  </r>
  <r>
    <x v="429"/>
    <x v="5"/>
    <x v="2"/>
    <s v="Green"/>
    <s v="Phone"/>
    <n v="7"/>
    <x v="24"/>
    <x v="0"/>
    <n v="4.9000000000000004"/>
    <s v="sales.EDGAR@email.com"/>
  </r>
  <r>
    <x v="430"/>
    <x v="4"/>
    <x v="2"/>
    <s v="Silver"/>
    <s v="Live"/>
    <n v="7"/>
    <x v="32"/>
    <x v="0"/>
    <n v="5.25"/>
    <s v="sales.MARIO@email.com"/>
  </r>
  <r>
    <x v="431"/>
    <x v="1"/>
    <x v="0"/>
    <s v="Green"/>
    <s v="Website"/>
    <n v="4"/>
    <x v="27"/>
    <x v="0"/>
    <s v="No commission"/>
    <s v="sales.PETE@email.com"/>
  </r>
  <r>
    <x v="432"/>
    <x v="3"/>
    <x v="2"/>
    <s v="Blue"/>
    <s v="Website"/>
    <n v="6"/>
    <x v="19"/>
    <x v="0"/>
    <n v="3.9000000000000004"/>
    <s v="sales.HARRY@email.com"/>
  </r>
  <r>
    <x v="433"/>
    <x v="3"/>
    <x v="0"/>
    <s v="Blue"/>
    <s v="Phone"/>
    <n v="1"/>
    <x v="7"/>
    <x v="0"/>
    <s v="No commission"/>
    <s v="sales.HARRY@email.com"/>
  </r>
  <r>
    <x v="434"/>
    <x v="2"/>
    <x v="3"/>
    <s v="Red"/>
    <s v="Live"/>
    <n v="3"/>
    <x v="20"/>
    <x v="0"/>
    <s v="No commission"/>
    <s v="sales.LAUREN@email.com"/>
  </r>
  <r>
    <x v="435"/>
    <x v="5"/>
    <x v="2"/>
    <s v="Blue"/>
    <s v="Phone"/>
    <n v="1"/>
    <x v="7"/>
    <x v="0"/>
    <s v="No commission"/>
    <s v="sales.EDGAR@email.com"/>
  </r>
  <r>
    <x v="436"/>
    <x v="1"/>
    <x v="2"/>
    <s v="Silver"/>
    <s v="Website"/>
    <n v="7"/>
    <x v="32"/>
    <x v="0"/>
    <n v="5.25"/>
    <s v="sales.PETE@email.com"/>
  </r>
  <r>
    <x v="437"/>
    <x v="1"/>
    <x v="2"/>
    <s v="Blue"/>
    <s v="Phone"/>
    <n v="7"/>
    <x v="17"/>
    <x v="0"/>
    <n v="4.55"/>
    <s v="sales.PETE@email.com"/>
  </r>
  <r>
    <x v="438"/>
    <x v="1"/>
    <x v="0"/>
    <s v="Silver"/>
    <s v="Live"/>
    <n v="3"/>
    <x v="30"/>
    <x v="0"/>
    <s v="No commission"/>
    <s v="sales.PETE@email.com"/>
  </r>
  <r>
    <x v="439"/>
    <x v="4"/>
    <x v="0"/>
    <s v="Green"/>
    <s v="Live"/>
    <n v="1"/>
    <x v="28"/>
    <x v="0"/>
    <s v="No commission"/>
    <s v="sales.MARIO@email.com"/>
  </r>
  <r>
    <x v="440"/>
    <x v="1"/>
    <x v="1"/>
    <s v="Blue"/>
    <s v="Live"/>
    <n v="8"/>
    <x v="4"/>
    <x v="0"/>
    <n v="5.2"/>
    <s v="sales.PETE@email.com"/>
  </r>
  <r>
    <x v="441"/>
    <x v="3"/>
    <x v="2"/>
    <s v="Red"/>
    <s v="Phone"/>
    <n v="2"/>
    <x v="15"/>
    <x v="0"/>
    <s v="No commission"/>
    <s v="sales.HARRY@email.com"/>
  </r>
  <r>
    <x v="442"/>
    <x v="5"/>
    <x v="0"/>
    <s v="Green"/>
    <s v="Website"/>
    <n v="7"/>
    <x v="24"/>
    <x v="0"/>
    <n v="4.9000000000000004"/>
    <s v="sales.EDGAR@email.com"/>
  </r>
  <r>
    <x v="443"/>
    <x v="4"/>
    <x v="1"/>
    <s v="Red"/>
    <s v="Live"/>
    <n v="1"/>
    <x v="12"/>
    <x v="0"/>
    <s v="No commission"/>
    <s v="sales.MARIO@email.com"/>
  </r>
  <r>
    <x v="444"/>
    <x v="4"/>
    <x v="3"/>
    <s v="Silver"/>
    <s v="Phone"/>
    <n v="7"/>
    <x v="32"/>
    <x v="0"/>
    <n v="5.25"/>
    <s v="sales.MARIO@email.com"/>
  </r>
  <r>
    <x v="445"/>
    <x v="2"/>
    <x v="0"/>
    <s v="Silver"/>
    <s v="Live"/>
    <n v="6"/>
    <x v="37"/>
    <x v="0"/>
    <n v="4.5"/>
    <s v="sales.LAUREN@email.com"/>
  </r>
  <r>
    <x v="446"/>
    <x v="2"/>
    <x v="2"/>
    <s v="Silver"/>
    <s v="Phone"/>
    <n v="7"/>
    <x v="32"/>
    <x v="0"/>
    <n v="5.25"/>
    <s v="sales.LAUREN@email.com"/>
  </r>
  <r>
    <x v="447"/>
    <x v="3"/>
    <x v="2"/>
    <s v="Silver"/>
    <s v="Phone"/>
    <n v="4"/>
    <x v="6"/>
    <x v="0"/>
    <s v="No commission"/>
    <s v="sales.HARRY@email.com"/>
  </r>
  <r>
    <x v="448"/>
    <x v="4"/>
    <x v="1"/>
    <s v="Silver"/>
    <s v="Live"/>
    <n v="3"/>
    <x v="30"/>
    <x v="0"/>
    <s v="No commission"/>
    <s v="sales.MARIO@email.com"/>
  </r>
  <r>
    <x v="449"/>
    <x v="5"/>
    <x v="1"/>
    <s v="Silver"/>
    <s v="Phone"/>
    <n v="6"/>
    <x v="37"/>
    <x v="0"/>
    <n v="4.5"/>
    <s v="sales.EDGAR@email.com"/>
  </r>
  <r>
    <x v="450"/>
    <x v="4"/>
    <x v="2"/>
    <s v="Red"/>
    <s v="Live"/>
    <n v="8"/>
    <x v="1"/>
    <x v="0"/>
    <n v="4.8000000000000007"/>
    <s v="sales.MARIO@email.com"/>
  </r>
  <r>
    <x v="451"/>
    <x v="5"/>
    <x v="1"/>
    <s v="Blue"/>
    <s v="Phone"/>
    <n v="6"/>
    <x v="33"/>
    <x v="0"/>
    <n v="6"/>
    <s v="sales.EDGAR@email.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FC76E2-4824-4342-946A-011ED746872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8:U27" firstHeaderRow="1" firstDataRow="1" firstDataCol="1"/>
  <pivotFields count="10">
    <pivotField axis="axisRow" numFmtId="14"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showAll="0"/>
    <pivotField axis="axisRow" showAll="0">
      <items count="5">
        <item x="1"/>
        <item x="2"/>
        <item x="0"/>
        <item x="3"/>
        <item t="default"/>
      </items>
    </pivotField>
    <pivotField showAll="0"/>
    <pivotField numFmtId="2"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5">
    <field x="3"/>
    <field x="9"/>
    <field x="8"/>
    <field x="7"/>
    <field x="0"/>
  </rowFields>
  <rowItems count="19">
    <i>
      <x/>
    </i>
    <i r="1">
      <x v="1"/>
    </i>
    <i r="1">
      <x v="2"/>
    </i>
    <i r="1">
      <x v="3"/>
    </i>
    <i r="1">
      <x v="4"/>
    </i>
    <i>
      <x v="1"/>
    </i>
    <i r="1">
      <x v="1"/>
    </i>
    <i r="1">
      <x v="2"/>
    </i>
    <i r="1">
      <x v="3"/>
    </i>
    <i r="1">
      <x v="4"/>
    </i>
    <i>
      <x v="2"/>
    </i>
    <i r="1">
      <x v="1"/>
    </i>
    <i r="1">
      <x v="2"/>
    </i>
    <i r="1">
      <x v="3"/>
    </i>
    <i r="1">
      <x v="4"/>
    </i>
    <i>
      <x v="3"/>
    </i>
    <i r="1">
      <x v="3"/>
    </i>
    <i r="1">
      <x v="4"/>
    </i>
    <i t="grand">
      <x/>
    </i>
  </rowItems>
  <colItems count="1">
    <i/>
  </colItems>
  <dataFields count="1">
    <dataField name="Sum of Sal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DD7B70-7FE3-4927-8A72-E53C2A49EAD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8:R15" firstHeaderRow="1" firstDataRow="2" firstDataCol="1" rowPageCount="1" colPageCount="1"/>
  <pivotFields count="10">
    <pivotField numFmtId="14"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axis="axisRow" showAll="0">
      <items count="7">
        <item x="5"/>
        <item x="3"/>
        <item x="2"/>
        <item x="4"/>
        <item x="0"/>
        <item x="1"/>
        <item t="default"/>
      </items>
    </pivotField>
    <pivotField axis="axisCol" showAll="0">
      <items count="5">
        <item x="2"/>
        <item x="1"/>
        <item x="0"/>
        <item x="3"/>
        <item t="default"/>
      </items>
    </pivotField>
    <pivotField showAll="0"/>
    <pivotField showAll="0"/>
    <pivotField numFmtId="2"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7">
        <item sd="0" x="0"/>
        <item sd="0" x="1"/>
        <item sd="0" x="2"/>
        <item sd="0" x="3"/>
        <item sd="0" x="4"/>
        <item sd="0" x="5"/>
        <item t="default"/>
      </items>
    </pivotField>
  </pivotFields>
  <rowFields count="1">
    <field x="1"/>
  </rowFields>
  <rowItems count="6">
    <i>
      <x/>
    </i>
    <i>
      <x v="1"/>
    </i>
    <i>
      <x v="2"/>
    </i>
    <i>
      <x v="3"/>
    </i>
    <i>
      <x v="5"/>
    </i>
    <i t="grand">
      <x/>
    </i>
  </rowItems>
  <colFields count="1">
    <field x="2"/>
  </colFields>
  <colItems count="5">
    <i>
      <x/>
    </i>
    <i>
      <x v="1"/>
    </i>
    <i>
      <x v="2"/>
    </i>
    <i>
      <x v="3"/>
    </i>
    <i t="grand">
      <x/>
    </i>
  </colItems>
  <pageFields count="1">
    <pageField fld="9" item="3" hier="-1"/>
  </pageFields>
  <dataFields count="1">
    <dataField name="Sum of Sal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FE980C-D318-448F-B41A-E604F9B64A3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0:R26" firstHeaderRow="1" firstDataRow="2" firstDataCol="1" rowPageCount="1" colPageCount="1"/>
  <pivotFields count="10">
    <pivotField numFmtId="14"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axis="axisCol" showAll="0">
      <items count="5">
        <item x="2"/>
        <item x="1"/>
        <item x="0"/>
        <item x="3"/>
        <item t="default"/>
      </items>
    </pivotField>
    <pivotField axis="axisRow" showAll="0">
      <items count="5">
        <item x="1"/>
        <item x="2"/>
        <item x="0"/>
        <item x="3"/>
        <item t="default"/>
      </items>
    </pivotField>
    <pivotField showAll="0"/>
    <pivotField dataField="1" numFmtId="2"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Page" showAll="0" defaultSubtotal="0">
      <items count="6">
        <item sd="0" x="0"/>
        <item sd="0" x="1"/>
        <item sd="0" x="2"/>
        <item sd="0" x="3"/>
        <item sd="0" x="4"/>
        <item sd="0" x="5"/>
      </items>
    </pivotField>
  </pivotFields>
  <rowFields count="1">
    <field x="3"/>
  </rowFields>
  <rowItems count="5">
    <i>
      <x/>
    </i>
    <i>
      <x v="1"/>
    </i>
    <i>
      <x v="2"/>
    </i>
    <i>
      <x v="3"/>
    </i>
    <i t="grand">
      <x/>
    </i>
  </rowItems>
  <colFields count="1">
    <field x="2"/>
  </colFields>
  <colItems count="5">
    <i>
      <x/>
    </i>
    <i>
      <x v="1"/>
    </i>
    <i>
      <x v="2"/>
    </i>
    <i>
      <x v="3"/>
    </i>
    <i t="grand">
      <x/>
    </i>
  </colItems>
  <pageFields count="1">
    <pageField fld="9" hier="-1"/>
  </pageFields>
  <dataFields count="1">
    <dataField name="Sum of Units" fld="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2D271E-6667-413B-B6DA-895929C584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I24" firstHeaderRow="1" firstDataRow="1" firstDataCol="0"/>
  <pivotFields count="6">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9D1DDA-7EC1-477D-B352-0CD1ACB5123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1:C18" firstHeaderRow="1" firstDataRow="1" firstDataCol="1"/>
  <pivotFields count="12">
    <pivotField numFmtId="14"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axis="axisRow" showAll="0" sortType="descending">
      <items count="7">
        <item x="5"/>
        <item x="3"/>
        <item x="2"/>
        <item x="4"/>
        <item x="0"/>
        <item x="1"/>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pivotField showAll="0"/>
    <pivotField numFmtId="2"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7">
    <i>
      <x v="5"/>
    </i>
    <i>
      <x/>
    </i>
    <i>
      <x v="3"/>
    </i>
    <i>
      <x v="2"/>
    </i>
    <i>
      <x v="1"/>
    </i>
    <i>
      <x v="4"/>
    </i>
    <i t="grand">
      <x/>
    </i>
  </rowItems>
  <colItems count="1">
    <i/>
  </colItems>
  <dataFields count="1">
    <dataField name="Sum of Sales" fld="6" baseField="0" baseItem="0" numFmtId="16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CEAF9D-E07D-4D04-96F2-FBED85163EC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8" firstHeaderRow="1" firstDataRow="1" firstDataCol="1"/>
  <pivotFields count="12">
    <pivotField numFmtId="14"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items count="7">
        <item x="5"/>
        <item x="3"/>
        <item x="2"/>
        <item x="4"/>
        <item x="0"/>
        <item x="1"/>
        <item t="default"/>
      </items>
    </pivotField>
    <pivotField axis="axisRow" showAll="0">
      <items count="5">
        <item x="2"/>
        <item x="1"/>
        <item x="0"/>
        <item x="3"/>
        <item t="default"/>
      </items>
    </pivotField>
    <pivotField showAll="0"/>
    <pivotField showAll="0"/>
    <pivotField numFmtId="2" showAll="0"/>
    <pivotField dataField="1" numFmtId="164" showAll="0">
      <items count="39">
        <item x="0"/>
        <item x="12"/>
        <item x="7"/>
        <item x="28"/>
        <item x="36"/>
        <item x="5"/>
        <item x="15"/>
        <item x="2"/>
        <item x="34"/>
        <item x="31"/>
        <item x="14"/>
        <item x="20"/>
        <item x="22"/>
        <item x="25"/>
        <item x="18"/>
        <item x="30"/>
        <item x="13"/>
        <item x="21"/>
        <item x="11"/>
        <item x="27"/>
        <item x="6"/>
        <item x="10"/>
        <item x="9"/>
        <item x="26"/>
        <item x="16"/>
        <item x="35"/>
        <item x="23"/>
        <item x="19"/>
        <item x="3"/>
        <item x="8"/>
        <item x="37"/>
        <item x="17"/>
        <item x="1"/>
        <item x="24"/>
        <item x="4"/>
        <item x="32"/>
        <item x="29"/>
        <item x="3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5">
    <i>
      <x/>
    </i>
    <i>
      <x v="1"/>
    </i>
    <i>
      <x v="2"/>
    </i>
    <i>
      <x v="3"/>
    </i>
    <i t="grand">
      <x/>
    </i>
  </rowItems>
  <colItems count="1">
    <i/>
  </colItems>
  <dataFields count="1">
    <dataField name="Sum of Sales" fld="6" baseField="0" baseItem="0" numFmtId="164"/>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A9E07B-61FE-4D53-BA39-ABBF7819759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1:C70" firstHeaderRow="1" firstDataRow="1" firstDataCol="1"/>
  <pivotFields count="12">
    <pivotField numFmtId="14"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showAll="0">
      <items count="5">
        <item x="2"/>
        <item x="1"/>
        <item x="0"/>
        <item x="3"/>
        <item t="default"/>
      </items>
    </pivotField>
    <pivotField showAll="0"/>
    <pivotField showAll="0"/>
    <pivotField numFmtId="2" showAll="0"/>
    <pivotField dataField="1" numFmtId="164"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1"/>
    <field x="10"/>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Items count="1">
    <i/>
  </colItems>
  <dataFields count="1">
    <dataField name="Sum of Sales" fld="6" baseField="0" baseItem="0" numFmtId="164"/>
  </dataFields>
  <formats count="4">
    <format dxfId="3">
      <pivotArea type="all" dataOnly="0" outline="0" fieldPosition="0"/>
    </format>
    <format dxfId="2">
      <pivotArea outline="0" collapsedLevelsAreSubtotals="1" fieldPosition="0"/>
    </format>
    <format dxfId="1">
      <pivotArea dataOnly="0" labelOnly="1" grandRow="1" outline="0" fieldPosition="0"/>
    </format>
    <format dxfId="0">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3EBFAF-DA4E-46F9-A5EC-DD2A061DDE3E}" autoFormatId="16" applyNumberFormats="0" applyBorderFormats="0" applyFontFormats="0" applyPatternFormats="0" applyAlignmentFormats="0" applyWidthHeightFormats="0">
  <queryTableRefresh nextId="10">
    <queryTableFields count="9">
      <queryTableField id="1" name="Date" tableColumnId="1"/>
      <queryTableField id="2" name="Salesperson" tableColumnId="2"/>
      <queryTableField id="3" name="Region" tableColumnId="3"/>
      <queryTableField id="4" name="Color" tableColumnId="4"/>
      <queryTableField id="5" name="Modality" tableColumnId="5"/>
      <queryTableField id="6" name="Units" tableColumnId="6"/>
      <queryTableField id="7" name="Sales" tableColumnId="7"/>
      <queryTableField id="8" name="Commission" tableColumnId="8"/>
      <queryTableField id="9" name="New emai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8EC827-55E7-4279-82FF-34594F9E9EFD}" sourceName="Region">
  <pivotTables>
    <pivotTable tabId="7" name="PivotTable3"/>
    <pivotTable tabId="7" name="PivotTable5"/>
    <pivotTable tabId="7" name="PivotTable6"/>
  </pivotTables>
  <data>
    <tabular pivotCacheId="131048220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B073705-CAE9-4934-B4FA-C8FAA381FA7E}" sourceName="Salesperson">
  <pivotTables>
    <pivotTable tabId="7" name="PivotTable5"/>
  </pivotTables>
  <data>
    <tabular pivotCacheId="1310482209">
      <items count="6">
        <i x="5" s="1"/>
        <i x="3" s="1"/>
        <i x="2"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FF22D33-BA57-4380-AC3B-E2BF168DCAD9}" sourceName="Date">
  <pivotTables>
    <pivotTable tabId="7" name="PivotTable6"/>
  </pivotTables>
  <data>
    <tabular pivotCacheId="1310482209">
      <items count="45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0BA9ECBF-4ED0-41D2-B6F9-C980F5DD64BA}" sourceName="Months (Date)">
  <pivotTables>
    <pivotTable tabId="7" name="PivotTable6"/>
  </pivotTables>
  <data>
    <tabular pivotCacheId="1310482209">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F6A9B94B-7227-44E1-83CF-171B0F5C4FD7}" sourceName="Years (Date)">
  <pivotTables>
    <pivotTable tabId="7" name="PivotTable6"/>
  </pivotTables>
  <data>
    <tabular pivotCacheId="131048220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B1E703D-2F2E-415B-87AB-A56D594E22D9}" cache="Slicer_Region" caption="Region" rowHeight="257175"/>
  <slicer name="Salesperson 1" xr10:uid="{484CF823-E538-48FC-972F-1A6777DCFB92}" cache="Slicer_Salesperson" caption="Salesperson" rowHeight="257175"/>
  <slicer name="Months (Date) 1" xr10:uid="{B9EC811B-F86F-4E2E-87F2-70EE4A3F809D}" cache="Slicer_Months__Date1" caption="Months (Date)" rowHeight="257175"/>
  <slicer name="Years (Date) 1" xr10:uid="{FA77CCA5-2E20-428E-BA07-F63E728A9976}" cache="Slicer_Years__Date1" caption="Years (Dat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BF0E76E-039F-440C-8A1C-D1B4FBEC1D7C}" cache="Slicer_Region" caption="Region" rowHeight="257175"/>
  <slicer name="Salesperson" xr10:uid="{62A0FE1B-6F4E-49CB-80E2-E6EB13CD8708}" cache="Slicer_Salesperson" caption="Salesperson" rowHeight="257175"/>
  <slicer name="Date" xr10:uid="{24AE24A8-DFE3-4C46-BAE2-442F2282D6AA}" cache="Slicer_Date" caption="Date" rowHeight="257175"/>
  <slicer name="Months (Date)" xr10:uid="{804ECC33-6511-4464-8231-6605E9E28C4D}" cache="Slicer_Months__Date1" caption="Months (Date)" rowHeight="257175"/>
  <slicer name="Years (Date)" xr10:uid="{A23FE411-4BC7-4B64-8C5F-1CF35ECEB328}" cache="Slicer_Years__Date1" caption="Years (Dat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084B81-EF77-4B86-9596-D3A9A2199E03}" name="TableSales_1" displayName="TableSales_1" ref="A1:I454" tableType="queryTable" totalsRowShown="0">
  <autoFilter ref="A1:I454" xr:uid="{5C084B81-EF77-4B86-9596-D3A9A2199E03}"/>
  <sortState xmlns:xlrd2="http://schemas.microsoft.com/office/spreadsheetml/2017/richdata2" ref="A2:I454">
    <sortCondition ref="A1:A454"/>
  </sortState>
  <tableColumns count="9">
    <tableColumn id="1" xr3:uid="{1A7BE4A0-6C60-4039-A90C-DD1B1A231641}" uniqueName="1" name="Date" queryTableFieldId="1" dataDxfId="40"/>
    <tableColumn id="2" xr3:uid="{7C01AC74-827D-421F-8004-26542AABEFCD}" uniqueName="2" name="Salesperson" queryTableFieldId="2" dataDxfId="39"/>
    <tableColumn id="3" xr3:uid="{DF940D6D-D168-4C29-BB3A-E8AEC95C55D5}" uniqueName="3" name="Region" queryTableFieldId="3" dataDxfId="38"/>
    <tableColumn id="4" xr3:uid="{E8C93271-7B3C-4BA1-BC69-BD1BCA2B72CB}" uniqueName="4" name="Color" queryTableFieldId="4" dataDxfId="37"/>
    <tableColumn id="5" xr3:uid="{54192D97-7900-4953-B29E-391BE91444F4}" uniqueName="5" name="Modality" queryTableFieldId="5" dataDxfId="36"/>
    <tableColumn id="6" xr3:uid="{B340B576-4AEB-4C8E-AA7D-D803D0A0A8D7}" uniqueName="6" name="Units" queryTableFieldId="6"/>
    <tableColumn id="7" xr3:uid="{FE91FE45-6023-445F-80D6-EA03F24DF406}" uniqueName="7" name="Sales" queryTableFieldId="7"/>
    <tableColumn id="8" xr3:uid="{5086BBD2-F106-4481-BF89-D8B53D6F0C2A}" uniqueName="8" name="Commission" queryTableFieldId="8"/>
    <tableColumn id="9" xr3:uid="{ECAB2480-E6D4-4483-AACF-7F72006BE28E}" uniqueName="9" name="New email" queryTableFieldId="9"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A4BC3B-3FAF-490F-B987-FF8A7644ACA4}" name="TableSales" displayName="TableSales" ref="B8:K461" totalsRowCount="1" headerRowDxfId="34" dataDxfId="33" tableBorderDxfId="32" headerRowCellStyle="Normal 2" dataCellStyle="Normal 2">
  <autoFilter ref="B8:K460" xr:uid="{B57AF038-F5D6-4358-9C24-4C69DBACB5E2}"/>
  <sortState xmlns:xlrd2="http://schemas.microsoft.com/office/spreadsheetml/2017/richdata2" ref="B9:H460">
    <sortCondition ref="B9:B460"/>
  </sortState>
  <tableColumns count="10">
    <tableColumn id="1" xr3:uid="{89901C11-4964-4E49-815B-9A4AFF0373EB}" name="Date" dataDxfId="31" totalsRowDxfId="30" dataCellStyle="Normal 2"/>
    <tableColumn id="2" xr3:uid="{2C125500-4869-459A-8A50-776F15CBCEDE}" name="Salesperson" dataDxfId="29" totalsRowDxfId="28" dataCellStyle="Normal 2"/>
    <tableColumn id="5" xr3:uid="{EC2EF49D-D1FF-4209-B5D1-F43E51D713A3}" name="Region" dataDxfId="27" totalsRowDxfId="26" dataCellStyle="Normal 2"/>
    <tableColumn id="4" xr3:uid="{654154AD-6FFD-4BED-8CB7-487F7254623B}" name="Color" dataDxfId="25" totalsRowDxfId="24" dataCellStyle="Normal 2"/>
    <tableColumn id="3" xr3:uid="{2B56C78D-8677-4834-8149-FEAD07C549F7}" name="Modality" dataDxfId="23" totalsRowDxfId="22" dataCellStyle="Normal 2"/>
    <tableColumn id="6" xr3:uid="{BB5C5D94-6DCA-4D09-A7E6-92928999555F}" name="Units" dataDxfId="21" totalsRowDxfId="20" dataCellStyle="Normal 2"/>
    <tableColumn id="7" xr3:uid="{578354BE-B230-45CC-A553-EDA574FE26DA}" name="Sales" totalsRowFunction="sum" dataDxfId="19" totalsRowDxfId="18" dataCellStyle="Normal 2"/>
    <tableColumn id="11" xr3:uid="{C5312C00-6037-4E20-B61A-485BB993AA89}" name="Column1" dataDxfId="17" totalsRowDxfId="16" dataCellStyle="Normal 2"/>
    <tableColumn id="9" xr3:uid="{32DA1A41-D69B-4C9E-B510-78B7B39CAE65}" name="Commission" dataDxfId="15" totalsRowDxfId="14" dataCellStyle="Normal 2">
      <calculatedColumnFormula>IF(TableSales[[#This Row],[Sales]]&gt;=70, TableSales[[#This Row],[Sales]]*0.05, "No commission")</calculatedColumnFormula>
    </tableColumn>
    <tableColumn id="10" xr3:uid="{ECE24901-6719-4940-AA58-94ED02900D0F}" name="New email" dataDxfId="13" totalsRowDxfId="12" dataCellStyle="Normal 2">
      <calculatedColumnFormula>LEFT($J$7,6)&amp;TableSales[[#This Row],[Salesperson]]&amp;RIGHT($K$7,10)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7C87C0-3633-48D3-A3B1-C9D581805C24}" name="Table1" displayName="Table1" ref="A7:F31" totalsRowShown="0" headerRowDxfId="11" dataDxfId="10">
  <autoFilter ref="A7:F31" xr:uid="{FB7C87C0-3633-48D3-A3B1-C9D581805C24}"/>
  <tableColumns count="6">
    <tableColumn id="1" xr3:uid="{A2E08480-9A98-4D1E-8241-A1415A1441FC}" name="Last Name" dataDxfId="9"/>
    <tableColumn id="2" xr3:uid="{06DB79BA-FE23-4E1B-A44F-98335B5CF078}" name="First Name" dataDxfId="8"/>
    <tableColumn id="3" xr3:uid="{CEF46C57-BA8B-4C68-96A2-32F6E574D63A}" name="Job Position" dataDxfId="7"/>
    <tableColumn id="4" xr3:uid="{5E12E9F2-3B5D-4613-8123-6E2D0F440858}" name="Marital Status" dataDxfId="6"/>
    <tableColumn id="5" xr3:uid="{3C91D48C-0255-4162-9F45-6DE4C4E35D37}" name="Age" dataDxfId="5"/>
    <tableColumn id="6" xr3:uid="{1532D686-CDB2-4CF4-822F-B4D6B3EEDBBC}" name="Assigned House" dataDxfId="4"/>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6" dT="2025-11-19T13:45:54.67" personId="{CBA83894-16D3-4AAE-916C-C87FD0D3C5CB}" id="{E1E8C2CF-39ED-4C8D-B967-AE511A82DBF8}">
    <text>To filter the pivot table by the year.
Go to the “PivotTable Field”
You put the date columns in the rows section.
De-select the month and quarter parameters
You put the year parameter in the “Filters” section
Now, you can filter the Pivot table by year</text>
  </threadedComment>
  <threadedComment ref="M7" dT="2025-11-18T22:05:17.33" personId="{CBA83894-16D3-4AAE-916C-C87FD0D3C5CB}" id="{79688DAF-6B0B-4EB7-9EEB-503D7B12C829}">
    <text>- Select the table with ctrl+A
- Look for the option “Summarize with pivot table”
- Ensure the pivot command contains all the data of the table
- Put an existing or new page.
- Use the table in order to accomplish the target or the original objetive</text>
  </threadedComment>
  <threadedComment ref="B8" dT="2025-11-17T15:33:00.47" personId="{CBA83894-16D3-4AAE-916C-C87FD0D3C5CB}" id="{BF117951-6E4A-4F87-8835-0B8D40452B86}">
    <text>I changed the format of this column to short date for learning purposes</text>
  </threadedComment>
  <threadedComment ref="B8" dT="2025-11-17T15:58:05.55" personId="{CBA83894-16D3-4AAE-916C-C87FD0D3C5CB}" id="{B1AEB258-C3D2-4F95-B1AB-69C1BD9237C9}" parentId="{BF117951-6E4A-4F87-8835-0B8D40452B86}">
    <text>I used sort &amp; filter command, to filter date information, in particular, I filtered between 3/1/2017 to 9/1/2018</text>
  </threadedComment>
  <threadedComment ref="B8" dT="2025-11-18T13:58:11.94" personId="{CBA83894-16D3-4AAE-916C-C87FD0D3C5CB}" id="{E14BF18A-1B31-4C80-9A46-F4E718810F4F}" parentId="{BF117951-6E4A-4F87-8835-0B8D40452B86}">
    <text>I used custom sort order, to put the dat from “oldest to newest” to “newest to oldest”</text>
  </threadedComment>
  <threadedComment ref="C8" dT="2025-11-17T15:30:03.32" personId="{CBA83894-16D3-4AAE-916C-C87FD0D3C5CB}" id="{44CEA7E3-7023-45D9-98F0-35317A15EA93}">
    <text>I put these columns to text format just for learning purposes</text>
  </threadedComment>
  <threadedComment ref="C8" dT="2025-11-17T15:48:35.48" personId="{CBA83894-16D3-4AAE-916C-C87FD0D3C5CB}" id="{72D474EE-DEC4-46ED-B2CF-C40C55289B32}" parentId="{44CEA7E3-7023-45D9-98F0-35317A15EA93}">
    <text>I used the “sort &amp; filter” command, to filter the “Salesperson” and the “Region” columns.</text>
  </threadedComment>
  <threadedComment ref="C8" dT="2025-11-17T15:52:16.96" personId="{CBA83894-16D3-4AAE-916C-C87FD0D3C5CB}" id="{95B57F79-521A-472C-B387-CE8BBB805976}" parentId="{44CEA7E3-7023-45D9-98F0-35317A15EA93}">
    <text>I used the same command, to filter names with letter “r, I used text filter option.</text>
  </threadedComment>
  <threadedComment ref="D8" dT="2025-11-18T14:11:33.53" personId="{CBA83894-16D3-4AAE-916C-C87FD0D3C5CB}" id="{73359A1B-FCE3-4BE2-AFB1-58BF3E81BE22}">
    <text xml:space="preserve">I put a personalized order on the region column, using the custom sort
</text>
  </threadedComment>
  <threadedComment ref="F8" dT="2025-11-18T14:06:19.53" personId="{CBA83894-16D3-4AAE-916C-C87FD0D3C5CB}" id="{0C17D926-B2D5-4DC5-8AEE-7EACE51A3A01}">
    <text>I put hierarchy with salesperson and modality columns.
First, salesperson and modality columns and later in reverse, modality an the salesperson</text>
  </threadedComment>
  <threadedComment ref="G8" dT="2025-11-17T15:22:05.40" personId="{CBA83894-16D3-4AAE-916C-C87FD0D3C5CB}" id="{7046C565-BE9A-4337-B273-E8755C6872CC}">
    <text>Ctrl+shift+down, you select all the column below</text>
  </threadedComment>
  <threadedComment ref="G8" dT="2025-11-17T15:23:44.09" personId="{CBA83894-16D3-4AAE-916C-C87FD0D3C5CB}" id="{A520B9CA-88AF-40AF-8BC2-52058E238E3F}" parentId="{7046C565-BE9A-4337-B273-E8755C6872CC}">
    <text>On this colum, I change the format to number format.</text>
  </threadedComment>
  <threadedComment ref="G8" dT="2025-11-18T14:16:03.68" personId="{CBA83894-16D3-4AAE-916C-C87FD0D3C5CB}" id="{B3F529DE-12E4-4EF2-9C3F-161AFA1A94BF}" parentId="{7046C565-BE9A-4337-B273-E8755C6872CC}">
    <text>You can put a personalized order using “custom sort” but we need to put all the parameters right to avoid strange patterns</text>
  </threadedComment>
  <threadedComment ref="H8" dT="2025-11-17T15:21:01.39" personId="{CBA83894-16D3-4AAE-916C-C87FD0D3C5CB}" id="{7B3A4DA9-AF5B-4538-BFA5-6551953C574C}">
    <text>On this colum, I change the format to number format.</text>
  </threadedComment>
  <threadedComment ref="H8" dT="2025-11-17T15:24:16.96" personId="{CBA83894-16D3-4AAE-916C-C87FD0D3C5CB}" id="{366BA089-3548-40F1-9D63-4243F6718694}" parentId="{7B3A4DA9-AF5B-4538-BFA5-6551953C574C}">
    <text>Ctrl+shift+down, you select all the column below</text>
  </threadedComment>
  <threadedComment ref="H8" dT="2025-11-17T15:40:09.86" personId="{CBA83894-16D3-4AAE-916C-C87FD0D3C5CB}" id="{839E17C3-3C7C-476E-8ED6-7908E0A42AE1}" parentId="{7B3A4DA9-AF5B-4538-BFA5-6551953C574C}">
    <text>I changed the column to currency format with red negative numbers</text>
  </threadedComment>
  <threadedComment ref="H8" dT="2025-11-17T15:40:45.32" personId="{CBA83894-16D3-4AAE-916C-C87FD0D3C5CB}" id="{84798A07-D7A2-4FB2-8366-11ED654715E0}" parentId="{7B3A4DA9-AF5B-4538-BFA5-6551953C574C}">
    <text>Later, I change the format to accounting, to analyze better the sales numbers</text>
  </threadedComment>
  <threadedComment ref="J8" dT="2025-11-19T22:25:30.36" personId="{CBA83894-16D3-4AAE-916C-C87FD0D3C5CB}" id="{3972DF2D-A32A-449D-BCDE-B6DA5CBE6842}">
    <text>In this column, I applied a conditional using the function “IF”, where a salesperson receive a 5% commision if their sale are equal or greather than 70$.</text>
  </threadedComment>
  <threadedComment ref="K8" dT="2025-11-19T22:32:10.88" personId="{CBA83894-16D3-4AAE-916C-C87FD0D3C5CB}" id="{4F74AA78-870C-4D8D-A9C9-92D2166F4D1F}">
    <text>In this column, I created a new list of email addresses for the salespersons using the function right and the helper “training@email.com” at the J7 cell</text>
    <extLst>
      <x:ext xmlns:xltc2="http://schemas.microsoft.com/office/spreadsheetml/2020/threadedcomments2" uri="{F7C98A9C-CBB3-438F-8F68-D28B6AF4A901}">
        <xltc2:checksum>724936309</xltc2:checksum>
        <xltc2:hyperlink startIndex="118" length="18" url="training@email.com"/>
      </x:ext>
    </extLst>
  </threadedComment>
  <threadedComment ref="K8" dT="2025-11-19T22:36:07.22" personId="{CBA83894-16D3-4AAE-916C-C87FD0D3C5CB}" id="{CD544896-C043-4AD8-B926-F6439B21C757}" parentId="{4F74AA78-870C-4D8D-A9C9-92D2166F4D1F}">
    <text xml:space="preserve">Equally, I used the LEFT function to add the identifier “sales.” at the left.
</text>
  </threadedComment>
  <threadedComment ref="X8" dT="2025-11-19T19:17:22.84" personId="{CBA83894-16D3-4AAE-916C-C87FD0D3C5CB}" id="{A721AE38-46F6-4853-AF5F-7CA8E979A21E}">
    <text>I did not understand well the function “counta”. I will practice it with more exercises.</text>
  </threadedComment>
  <threadedComment ref="M16" dT="2025-11-19T13:30:55.62" personId="{CBA83894-16D3-4AAE-916C-C87FD0D3C5CB}" id="{5BE00545-2379-4C34-9750-3BFC44AF0FA5}">
    <text>To update the pivot table information, you go to “PivotAnalyze”, and then click to “Refresh”.</text>
  </threadedComment>
  <threadedComment ref="W16" dT="2025-11-20T15:36:30.45" personId="{CBA83894-16D3-4AAE-916C-C87FD0D3C5CB}" id="{F1CE2A8B-28AB-449C-9ADA-B93B66B15303}">
    <text>I used the general average function to find the main average of the “units” column.</text>
  </threadedComment>
  <threadedComment ref="W16" dT="2025-11-20T15:37:29.83" personId="{CBA83894-16D3-4AAE-916C-C87FD0D3C5CB}" id="{D51A30FD-ADDB-44DE-8E6C-23452AAB1668}" parentId="{F1CE2A8B-28AB-449C-9ADA-B93B66B15303}">
    <text>Here, we can see that the number of units sold is typically between 4 to 5 units per sale.</text>
  </threadedComment>
  <threadedComment ref="M44" dT="2025-11-19T22:48:30.71" personId="{CBA83894-16D3-4AAE-916C-C87FD0D3C5CB}" id="{6B0F7CE7-5AAF-4E79-BCCF-D1581D62F15F}">
    <text>I summed all numbers equal or greather than 4 of the column “Units” using the conditinal function sumif</text>
  </threadedComment>
  <threadedComment ref="M45" dT="2025-11-20T15:35:08.02" personId="{CBA83894-16D3-4AAE-916C-C87FD0D3C5CB}" id="{FAA0EC8B-21D5-463C-8159-DA95CD995270}">
    <text>In this cell, I made a conditional sums, I summed all the total sales with websited modality</text>
  </threadedComment>
</ThreadedComments>
</file>

<file path=xl/threadedComments/threadedComment2.xml><?xml version="1.0" encoding="utf-8"?>
<ThreadedComments xmlns="http://schemas.microsoft.com/office/spreadsheetml/2018/threadedcomments" xmlns:x="http://schemas.openxmlformats.org/spreadsheetml/2006/main">
  <threadedComment ref="C6" dT="2025-11-18T14:29:35.55" personId="{CBA83894-16D3-4AAE-916C-C87FD0D3C5CB}" id="{1D31400A-17F8-4E74-A908-110A376C023C}">
    <text>Go to “Data” section.
Then, go to “data tools”
Then, go to “Tex to columns”
Put the right separatos (in this case, a comma)
And put next, next &amp; finish</text>
  </threadedComment>
  <threadedComment ref="K7" dT="2025-11-18T20:40:24.72" personId="{CBA83894-16D3-4AAE-916C-C87FD0D3C5CB}" id="{3E227009-8F5F-416F-BECC-615730E71C75}">
    <text>You select the column(s) [ctrl+shft+down]
Be sure the mouse is with the four corners
Please under shift.
And move the column(s) to the desired place</text>
  </threadedComment>
  <threadedComment ref="K8" dT="2025-11-18T21:47:41.74" personId="{CBA83894-16D3-4AAE-916C-C87FD0D3C5CB}" id="{9AD38831-9FC2-4636-85F2-8DF848A8F3C0}">
    <text>Select the table with Ctrl+A
Select the option “Format as Table”
Click Ok or whatever and you go it</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10" Type="http://schemas.microsoft.com/office/2017/10/relationships/threadedComment" Target="../threadedComments/threadedComment1.xml"/><Relationship Id="rId4" Type="http://schemas.openxmlformats.org/officeDocument/2006/relationships/hyperlink" Target="mailto:training@email.com" TargetMode="Externa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ivotTable" Target="../pivotTables/pivotTable4.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2.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40B6B-54F0-46D1-8634-230D4C9F47F9}">
  <dimension ref="A1:I454"/>
  <sheetViews>
    <sheetView tabSelected="1" topLeftCell="A2" workbookViewId="0">
      <selection activeCell="H28" sqref="H28"/>
    </sheetView>
  </sheetViews>
  <sheetFormatPr baseColWidth="10" defaultColWidth="8.88671875" defaultRowHeight="14.4"/>
  <cols>
    <col min="1" max="1" width="14.5546875" bestFit="1" customWidth="1"/>
    <col min="2" max="2" width="14.44140625" bestFit="1" customWidth="1"/>
    <col min="3" max="3" width="9.5546875" bestFit="1" customWidth="1"/>
    <col min="4" max="4" width="8.33203125" bestFit="1" customWidth="1"/>
    <col min="5" max="5" width="11" bestFit="1" customWidth="1"/>
    <col min="6" max="6" width="8" bestFit="1" customWidth="1"/>
    <col min="7" max="7" width="8.109375" bestFit="1" customWidth="1"/>
    <col min="8" max="8" width="15.109375" bestFit="1" customWidth="1"/>
    <col min="9" max="9" width="26.6640625" bestFit="1" customWidth="1"/>
  </cols>
  <sheetData>
    <row r="1" spans="1:9">
      <c r="A1" t="s">
        <v>2</v>
      </c>
      <c r="B1" t="s">
        <v>3</v>
      </c>
      <c r="C1" t="s">
        <v>6</v>
      </c>
      <c r="D1" t="s">
        <v>5</v>
      </c>
      <c r="E1" t="s">
        <v>4</v>
      </c>
      <c r="F1" t="s">
        <v>7</v>
      </c>
      <c r="G1" t="s">
        <v>8</v>
      </c>
      <c r="H1" t="s">
        <v>243</v>
      </c>
      <c r="I1" t="s">
        <v>244</v>
      </c>
    </row>
    <row r="2" spans="1:9">
      <c r="A2" s="73">
        <v>42372</v>
      </c>
      <c r="B2" t="s">
        <v>9</v>
      </c>
      <c r="C2" t="s">
        <v>12</v>
      </c>
      <c r="D2" t="s">
        <v>11</v>
      </c>
      <c r="E2" t="s">
        <v>10</v>
      </c>
      <c r="F2">
        <v>1</v>
      </c>
      <c r="G2">
        <v>11</v>
      </c>
      <c r="H2" t="s">
        <v>261</v>
      </c>
      <c r="I2" t="s">
        <v>259</v>
      </c>
    </row>
    <row r="3" spans="1:9">
      <c r="A3" s="73">
        <v>42382</v>
      </c>
      <c r="B3" t="s">
        <v>13</v>
      </c>
      <c r="C3" t="s">
        <v>16</v>
      </c>
      <c r="D3" t="s">
        <v>15</v>
      </c>
      <c r="E3" t="s">
        <v>14</v>
      </c>
      <c r="F3">
        <v>8</v>
      </c>
      <c r="G3">
        <v>96</v>
      </c>
      <c r="H3">
        <v>4.8</v>
      </c>
      <c r="I3" t="s">
        <v>260</v>
      </c>
    </row>
    <row r="4" spans="1:9">
      <c r="A4" s="73">
        <v>42390</v>
      </c>
      <c r="B4" t="s">
        <v>17</v>
      </c>
      <c r="C4" t="s">
        <v>12</v>
      </c>
      <c r="D4" t="s">
        <v>19</v>
      </c>
      <c r="E4" t="s">
        <v>18</v>
      </c>
      <c r="F4">
        <v>2</v>
      </c>
      <c r="G4">
        <v>26</v>
      </c>
      <c r="H4" t="s">
        <v>261</v>
      </c>
      <c r="I4" t="s">
        <v>257</v>
      </c>
    </row>
    <row r="5" spans="1:9">
      <c r="A5" s="73">
        <v>42399</v>
      </c>
      <c r="B5" t="s">
        <v>20</v>
      </c>
      <c r="C5" t="s">
        <v>21</v>
      </c>
      <c r="D5" t="s">
        <v>15</v>
      </c>
      <c r="E5" t="s">
        <v>14</v>
      </c>
      <c r="F5">
        <v>7</v>
      </c>
      <c r="G5">
        <v>84</v>
      </c>
      <c r="H5">
        <v>4.2</v>
      </c>
      <c r="I5" t="s">
        <v>256</v>
      </c>
    </row>
    <row r="6" spans="1:9">
      <c r="A6" s="73">
        <v>42407</v>
      </c>
      <c r="B6" t="s">
        <v>22</v>
      </c>
      <c r="C6" t="s">
        <v>21</v>
      </c>
      <c r="D6" t="s">
        <v>19</v>
      </c>
      <c r="E6" t="s">
        <v>18</v>
      </c>
      <c r="F6">
        <v>8</v>
      </c>
      <c r="G6">
        <v>104</v>
      </c>
      <c r="H6">
        <v>5.2</v>
      </c>
      <c r="I6" t="s">
        <v>258</v>
      </c>
    </row>
    <row r="7" spans="1:9">
      <c r="A7" s="73">
        <v>42413</v>
      </c>
      <c r="B7" t="s">
        <v>13</v>
      </c>
      <c r="C7" t="s">
        <v>16</v>
      </c>
      <c r="D7" t="s">
        <v>11</v>
      </c>
      <c r="E7" t="s">
        <v>14</v>
      </c>
      <c r="F7">
        <v>2</v>
      </c>
      <c r="G7">
        <v>22</v>
      </c>
      <c r="H7" t="s">
        <v>261</v>
      </c>
      <c r="I7" t="s">
        <v>260</v>
      </c>
    </row>
    <row r="8" spans="1:9">
      <c r="A8" s="73">
        <v>42421</v>
      </c>
      <c r="B8" t="s">
        <v>13</v>
      </c>
      <c r="C8" t="s">
        <v>23</v>
      </c>
      <c r="D8" t="s">
        <v>15</v>
      </c>
      <c r="E8" t="s">
        <v>10</v>
      </c>
      <c r="F8">
        <v>5</v>
      </c>
      <c r="G8">
        <v>60</v>
      </c>
      <c r="H8" t="s">
        <v>261</v>
      </c>
      <c r="I8" t="s">
        <v>260</v>
      </c>
    </row>
    <row r="9" spans="1:9">
      <c r="A9" s="73">
        <v>42430</v>
      </c>
      <c r="B9" t="s">
        <v>24</v>
      </c>
      <c r="C9" t="s">
        <v>12</v>
      </c>
      <c r="D9" t="s">
        <v>19</v>
      </c>
      <c r="E9" t="s">
        <v>18</v>
      </c>
      <c r="F9">
        <v>2</v>
      </c>
      <c r="G9">
        <v>26</v>
      </c>
      <c r="H9" t="s">
        <v>261</v>
      </c>
      <c r="I9" t="s">
        <v>255</v>
      </c>
    </row>
    <row r="10" spans="1:9">
      <c r="A10" s="73">
        <v>42442</v>
      </c>
      <c r="B10" t="s">
        <v>17</v>
      </c>
      <c r="C10" t="s">
        <v>23</v>
      </c>
      <c r="D10" t="s">
        <v>15</v>
      </c>
      <c r="E10" t="s">
        <v>10</v>
      </c>
      <c r="F10">
        <v>8</v>
      </c>
      <c r="G10">
        <v>96</v>
      </c>
      <c r="H10">
        <v>4.8</v>
      </c>
      <c r="I10" t="s">
        <v>257</v>
      </c>
    </row>
    <row r="11" spans="1:9">
      <c r="A11" s="73">
        <v>42452</v>
      </c>
      <c r="B11" t="s">
        <v>13</v>
      </c>
      <c r="C11" t="s">
        <v>21</v>
      </c>
      <c r="D11" t="s">
        <v>15</v>
      </c>
      <c r="E11" t="s">
        <v>18</v>
      </c>
      <c r="F11">
        <v>7</v>
      </c>
      <c r="G11">
        <v>84</v>
      </c>
      <c r="H11">
        <v>4.2</v>
      </c>
      <c r="I11" t="s">
        <v>260</v>
      </c>
    </row>
    <row r="12" spans="1:9">
      <c r="A12" s="73">
        <v>42457</v>
      </c>
      <c r="B12" t="s">
        <v>22</v>
      </c>
      <c r="C12" t="s">
        <v>12</v>
      </c>
      <c r="D12" t="s">
        <v>19</v>
      </c>
      <c r="E12" t="s">
        <v>10</v>
      </c>
      <c r="F12">
        <v>2</v>
      </c>
      <c r="G12">
        <v>26</v>
      </c>
      <c r="H12" t="s">
        <v>261</v>
      </c>
      <c r="I12" t="s">
        <v>258</v>
      </c>
    </row>
    <row r="13" spans="1:9">
      <c r="A13" s="73">
        <v>42463</v>
      </c>
      <c r="B13" t="s">
        <v>20</v>
      </c>
      <c r="C13" t="s">
        <v>16</v>
      </c>
      <c r="D13" t="s">
        <v>15</v>
      </c>
      <c r="E13" t="s">
        <v>18</v>
      </c>
      <c r="F13">
        <v>8</v>
      </c>
      <c r="G13">
        <v>96</v>
      </c>
      <c r="H13">
        <v>4.8</v>
      </c>
      <c r="I13" t="s">
        <v>256</v>
      </c>
    </row>
    <row r="14" spans="1:9">
      <c r="A14" s="73">
        <v>42472</v>
      </c>
      <c r="B14" t="s">
        <v>24</v>
      </c>
      <c r="C14" t="s">
        <v>16</v>
      </c>
      <c r="D14" t="s">
        <v>19</v>
      </c>
      <c r="E14" t="s">
        <v>18</v>
      </c>
      <c r="F14">
        <v>1</v>
      </c>
      <c r="G14">
        <v>13</v>
      </c>
      <c r="H14" t="s">
        <v>261</v>
      </c>
      <c r="I14" t="s">
        <v>255</v>
      </c>
    </row>
    <row r="15" spans="1:9">
      <c r="A15" s="73">
        <v>42476</v>
      </c>
      <c r="B15" t="s">
        <v>22</v>
      </c>
      <c r="C15" t="s">
        <v>23</v>
      </c>
      <c r="D15" t="s">
        <v>11</v>
      </c>
      <c r="E15" t="s">
        <v>10</v>
      </c>
      <c r="F15">
        <v>8</v>
      </c>
      <c r="G15">
        <v>88</v>
      </c>
      <c r="H15">
        <v>4.4000000000000004</v>
      </c>
      <c r="I15" t="s">
        <v>258</v>
      </c>
    </row>
    <row r="16" spans="1:9">
      <c r="A16" s="73">
        <v>42483</v>
      </c>
      <c r="B16" t="s">
        <v>17</v>
      </c>
      <c r="C16" t="s">
        <v>12</v>
      </c>
      <c r="D16" t="s">
        <v>11</v>
      </c>
      <c r="E16" t="s">
        <v>18</v>
      </c>
      <c r="F16">
        <v>6</v>
      </c>
      <c r="G16">
        <v>66</v>
      </c>
      <c r="H16" t="s">
        <v>261</v>
      </c>
      <c r="I16" t="s">
        <v>257</v>
      </c>
    </row>
    <row r="17" spans="1:9">
      <c r="A17" s="73">
        <v>42490</v>
      </c>
      <c r="B17" t="s">
        <v>24</v>
      </c>
      <c r="C17" t="s">
        <v>16</v>
      </c>
      <c r="D17" t="s">
        <v>19</v>
      </c>
      <c r="E17" t="s">
        <v>18</v>
      </c>
      <c r="F17">
        <v>5</v>
      </c>
      <c r="G17">
        <v>65</v>
      </c>
      <c r="H17" t="s">
        <v>261</v>
      </c>
      <c r="I17" t="s">
        <v>255</v>
      </c>
    </row>
    <row r="18" spans="1:9">
      <c r="A18" s="73">
        <v>42499</v>
      </c>
      <c r="B18" t="s">
        <v>22</v>
      </c>
      <c r="C18" t="s">
        <v>16</v>
      </c>
      <c r="D18" t="s">
        <v>15</v>
      </c>
      <c r="E18" t="s">
        <v>18</v>
      </c>
      <c r="F18">
        <v>7</v>
      </c>
      <c r="G18">
        <v>84</v>
      </c>
      <c r="H18">
        <v>4.2</v>
      </c>
      <c r="I18" t="s">
        <v>258</v>
      </c>
    </row>
    <row r="19" spans="1:9">
      <c r="A19" s="73">
        <v>42506</v>
      </c>
      <c r="B19" t="s">
        <v>20</v>
      </c>
      <c r="C19" t="s">
        <v>16</v>
      </c>
      <c r="D19" t="s">
        <v>11</v>
      </c>
      <c r="E19" t="s">
        <v>14</v>
      </c>
      <c r="F19">
        <v>5</v>
      </c>
      <c r="G19">
        <v>55</v>
      </c>
      <c r="H19" t="s">
        <v>261</v>
      </c>
      <c r="I19" t="s">
        <v>256</v>
      </c>
    </row>
    <row r="20" spans="1:9">
      <c r="A20" s="73">
        <v>42515</v>
      </c>
      <c r="B20" t="s">
        <v>24</v>
      </c>
      <c r="C20" t="s">
        <v>16</v>
      </c>
      <c r="D20" t="s">
        <v>15</v>
      </c>
      <c r="E20" t="s">
        <v>10</v>
      </c>
      <c r="F20">
        <v>1</v>
      </c>
      <c r="G20">
        <v>12</v>
      </c>
      <c r="H20" t="s">
        <v>261</v>
      </c>
      <c r="I20" t="s">
        <v>255</v>
      </c>
    </row>
    <row r="21" spans="1:9">
      <c r="A21" s="73">
        <v>42520</v>
      </c>
      <c r="B21" t="s">
        <v>9</v>
      </c>
      <c r="C21" t="s">
        <v>21</v>
      </c>
      <c r="D21" t="s">
        <v>15</v>
      </c>
      <c r="E21" t="s">
        <v>18</v>
      </c>
      <c r="F21">
        <v>4</v>
      </c>
      <c r="G21">
        <v>48</v>
      </c>
      <c r="H21" t="s">
        <v>261</v>
      </c>
      <c r="I21" t="s">
        <v>259</v>
      </c>
    </row>
    <row r="22" spans="1:9">
      <c r="A22" s="73">
        <v>42525</v>
      </c>
      <c r="B22" t="s">
        <v>13</v>
      </c>
      <c r="C22" t="s">
        <v>21</v>
      </c>
      <c r="D22" t="s">
        <v>15</v>
      </c>
      <c r="E22" t="s">
        <v>10</v>
      </c>
      <c r="F22">
        <v>7</v>
      </c>
      <c r="G22">
        <v>84</v>
      </c>
      <c r="H22">
        <v>4.2</v>
      </c>
      <c r="I22" t="s">
        <v>260</v>
      </c>
    </row>
    <row r="23" spans="1:9">
      <c r="A23" s="73">
        <v>42534</v>
      </c>
      <c r="B23" t="s">
        <v>17</v>
      </c>
      <c r="C23" t="s">
        <v>23</v>
      </c>
      <c r="D23" t="s">
        <v>11</v>
      </c>
      <c r="E23" t="s">
        <v>14</v>
      </c>
      <c r="F23">
        <v>3</v>
      </c>
      <c r="G23">
        <v>33</v>
      </c>
      <c r="H23" t="s">
        <v>261</v>
      </c>
      <c r="I23" t="s">
        <v>257</v>
      </c>
    </row>
    <row r="24" spans="1:9">
      <c r="A24" s="73">
        <v>42542</v>
      </c>
      <c r="B24" t="s">
        <v>9</v>
      </c>
      <c r="C24" t="s">
        <v>16</v>
      </c>
      <c r="D24" t="s">
        <v>15</v>
      </c>
      <c r="E24" t="s">
        <v>10</v>
      </c>
      <c r="F24">
        <v>2</v>
      </c>
      <c r="G24">
        <v>24</v>
      </c>
      <c r="H24" t="s">
        <v>261</v>
      </c>
      <c r="I24" t="s">
        <v>259</v>
      </c>
    </row>
    <row r="25" spans="1:9">
      <c r="A25" s="73">
        <v>42547</v>
      </c>
      <c r="B25" t="s">
        <v>17</v>
      </c>
      <c r="C25" t="s">
        <v>16</v>
      </c>
      <c r="D25" t="s">
        <v>15</v>
      </c>
      <c r="E25" t="s">
        <v>18</v>
      </c>
      <c r="F25">
        <v>6</v>
      </c>
      <c r="G25">
        <v>72</v>
      </c>
      <c r="H25">
        <v>3.6</v>
      </c>
      <c r="I25" t="s">
        <v>257</v>
      </c>
    </row>
    <row r="26" spans="1:9">
      <c r="A26" s="73">
        <v>42553</v>
      </c>
      <c r="B26" t="s">
        <v>22</v>
      </c>
      <c r="C26" t="s">
        <v>23</v>
      </c>
      <c r="D26" t="s">
        <v>11</v>
      </c>
      <c r="E26" t="s">
        <v>10</v>
      </c>
      <c r="F26">
        <v>6</v>
      </c>
      <c r="G26">
        <v>66</v>
      </c>
      <c r="H26" t="s">
        <v>261</v>
      </c>
      <c r="I26" t="s">
        <v>258</v>
      </c>
    </row>
    <row r="27" spans="1:9">
      <c r="A27" s="73">
        <v>42559</v>
      </c>
      <c r="B27" t="s">
        <v>13</v>
      </c>
      <c r="C27" t="s">
        <v>12</v>
      </c>
      <c r="D27" t="s">
        <v>19</v>
      </c>
      <c r="E27" t="s">
        <v>18</v>
      </c>
      <c r="F27">
        <v>2</v>
      </c>
      <c r="G27">
        <v>26</v>
      </c>
      <c r="H27" t="s">
        <v>261</v>
      </c>
      <c r="I27" t="s">
        <v>260</v>
      </c>
    </row>
    <row r="28" spans="1:9">
      <c r="A28" s="73">
        <v>42563</v>
      </c>
      <c r="B28" t="s">
        <v>9</v>
      </c>
      <c r="C28" t="s">
        <v>16</v>
      </c>
      <c r="D28" t="s">
        <v>15</v>
      </c>
      <c r="E28" t="s">
        <v>10</v>
      </c>
      <c r="F28">
        <v>4</v>
      </c>
      <c r="G28">
        <v>48</v>
      </c>
      <c r="H28" t="s">
        <v>278</v>
      </c>
      <c r="I28" t="s">
        <v>259</v>
      </c>
    </row>
    <row r="29" spans="1:9">
      <c r="A29" s="73">
        <v>42570</v>
      </c>
      <c r="B29" t="s">
        <v>24</v>
      </c>
      <c r="C29" t="s">
        <v>16</v>
      </c>
      <c r="D29" t="s">
        <v>19</v>
      </c>
      <c r="E29" t="s">
        <v>10</v>
      </c>
      <c r="F29">
        <v>1</v>
      </c>
      <c r="G29">
        <v>13</v>
      </c>
      <c r="H29" t="s">
        <v>261</v>
      </c>
      <c r="I29" t="s">
        <v>255</v>
      </c>
    </row>
    <row r="30" spans="1:9">
      <c r="A30" s="73">
        <v>42577</v>
      </c>
      <c r="B30" t="s">
        <v>22</v>
      </c>
      <c r="C30" t="s">
        <v>12</v>
      </c>
      <c r="D30" t="s">
        <v>15</v>
      </c>
      <c r="E30" t="s">
        <v>18</v>
      </c>
      <c r="F30">
        <v>1</v>
      </c>
      <c r="G30">
        <v>12</v>
      </c>
      <c r="H30" t="s">
        <v>261</v>
      </c>
      <c r="I30" t="s">
        <v>258</v>
      </c>
    </row>
    <row r="31" spans="1:9">
      <c r="A31" s="73">
        <v>42582</v>
      </c>
      <c r="B31" t="s">
        <v>24</v>
      </c>
      <c r="C31" t="s">
        <v>16</v>
      </c>
      <c r="D31" t="s">
        <v>11</v>
      </c>
      <c r="E31" t="s">
        <v>18</v>
      </c>
      <c r="F31">
        <v>2</v>
      </c>
      <c r="G31">
        <v>22</v>
      </c>
      <c r="H31" t="s">
        <v>261</v>
      </c>
      <c r="I31" t="s">
        <v>255</v>
      </c>
    </row>
    <row r="32" spans="1:9">
      <c r="A32" s="73">
        <v>42589</v>
      </c>
      <c r="B32" t="s">
        <v>9</v>
      </c>
      <c r="C32" t="s">
        <v>12</v>
      </c>
      <c r="D32" t="s">
        <v>19</v>
      </c>
      <c r="E32" t="s">
        <v>18</v>
      </c>
      <c r="F32">
        <v>5</v>
      </c>
      <c r="G32">
        <v>65</v>
      </c>
      <c r="H32" t="s">
        <v>261</v>
      </c>
      <c r="I32" t="s">
        <v>259</v>
      </c>
    </row>
    <row r="33" spans="1:9">
      <c r="A33" s="73">
        <v>42595</v>
      </c>
      <c r="B33" t="s">
        <v>24</v>
      </c>
      <c r="C33" t="s">
        <v>12</v>
      </c>
      <c r="D33" t="s">
        <v>15</v>
      </c>
      <c r="E33" t="s">
        <v>10</v>
      </c>
      <c r="F33">
        <v>5</v>
      </c>
      <c r="G33">
        <v>60</v>
      </c>
      <c r="H33" t="s">
        <v>261</v>
      </c>
      <c r="I33" t="s">
        <v>255</v>
      </c>
    </row>
    <row r="34" spans="1:9">
      <c r="A34" s="73">
        <v>42602</v>
      </c>
      <c r="B34" t="s">
        <v>24</v>
      </c>
      <c r="C34" t="s">
        <v>21</v>
      </c>
      <c r="D34" t="s">
        <v>19</v>
      </c>
      <c r="E34" t="s">
        <v>18</v>
      </c>
      <c r="F34">
        <v>8</v>
      </c>
      <c r="G34">
        <v>104</v>
      </c>
      <c r="H34">
        <v>5.2</v>
      </c>
      <c r="I34" t="s">
        <v>255</v>
      </c>
    </row>
    <row r="35" spans="1:9">
      <c r="A35" s="73">
        <v>42607</v>
      </c>
      <c r="B35" t="s">
        <v>17</v>
      </c>
      <c r="C35" t="s">
        <v>12</v>
      </c>
      <c r="D35" t="s">
        <v>15</v>
      </c>
      <c r="E35" t="s">
        <v>10</v>
      </c>
      <c r="F35">
        <v>4</v>
      </c>
      <c r="G35">
        <v>48</v>
      </c>
      <c r="H35" t="s">
        <v>261</v>
      </c>
      <c r="I35" t="s">
        <v>257</v>
      </c>
    </row>
    <row r="36" spans="1:9">
      <c r="A36" s="73">
        <v>42614</v>
      </c>
      <c r="B36" t="s">
        <v>13</v>
      </c>
      <c r="C36" t="s">
        <v>16</v>
      </c>
      <c r="D36" t="s">
        <v>11</v>
      </c>
      <c r="E36" t="s">
        <v>10</v>
      </c>
      <c r="F36">
        <v>6</v>
      </c>
      <c r="G36">
        <v>66</v>
      </c>
      <c r="H36" t="s">
        <v>261</v>
      </c>
      <c r="I36" t="s">
        <v>260</v>
      </c>
    </row>
    <row r="37" spans="1:9">
      <c r="A37" s="73">
        <v>42620</v>
      </c>
      <c r="B37" t="s">
        <v>17</v>
      </c>
      <c r="C37" t="s">
        <v>16</v>
      </c>
      <c r="D37" t="s">
        <v>19</v>
      </c>
      <c r="E37" t="s">
        <v>14</v>
      </c>
      <c r="F37">
        <v>7</v>
      </c>
      <c r="G37">
        <v>91</v>
      </c>
      <c r="H37">
        <v>4.55</v>
      </c>
      <c r="I37" t="s">
        <v>257</v>
      </c>
    </row>
    <row r="38" spans="1:9">
      <c r="A38" s="73">
        <v>42623</v>
      </c>
      <c r="B38" t="s">
        <v>13</v>
      </c>
      <c r="C38" t="s">
        <v>21</v>
      </c>
      <c r="D38" t="s">
        <v>11</v>
      </c>
      <c r="E38" t="s">
        <v>14</v>
      </c>
      <c r="F38">
        <v>4</v>
      </c>
      <c r="G38">
        <v>44</v>
      </c>
      <c r="H38" t="s">
        <v>261</v>
      </c>
      <c r="I38" t="s">
        <v>260</v>
      </c>
    </row>
    <row r="39" spans="1:9">
      <c r="A39" s="73">
        <v>42626</v>
      </c>
      <c r="B39" t="s">
        <v>13</v>
      </c>
      <c r="C39" t="s">
        <v>12</v>
      </c>
      <c r="D39" t="s">
        <v>19</v>
      </c>
      <c r="E39" t="s">
        <v>18</v>
      </c>
      <c r="F39">
        <v>6</v>
      </c>
      <c r="G39">
        <v>78</v>
      </c>
      <c r="H39">
        <v>3.9</v>
      </c>
      <c r="I39" t="s">
        <v>260</v>
      </c>
    </row>
    <row r="40" spans="1:9">
      <c r="A40" s="73">
        <v>42632</v>
      </c>
      <c r="B40" t="s">
        <v>17</v>
      </c>
      <c r="C40" t="s">
        <v>12</v>
      </c>
      <c r="D40" t="s">
        <v>15</v>
      </c>
      <c r="E40" t="s">
        <v>10</v>
      </c>
      <c r="F40">
        <v>1</v>
      </c>
      <c r="G40">
        <v>12</v>
      </c>
      <c r="H40" t="s">
        <v>261</v>
      </c>
      <c r="I40" t="s">
        <v>257</v>
      </c>
    </row>
    <row r="41" spans="1:9">
      <c r="A41" s="73">
        <v>42639</v>
      </c>
      <c r="B41" t="s">
        <v>22</v>
      </c>
      <c r="C41" t="s">
        <v>16</v>
      </c>
      <c r="D41" t="s">
        <v>15</v>
      </c>
      <c r="E41" t="s">
        <v>18</v>
      </c>
      <c r="F41">
        <v>4</v>
      </c>
      <c r="G41">
        <v>48</v>
      </c>
      <c r="H41" t="s">
        <v>261</v>
      </c>
      <c r="I41" t="s">
        <v>258</v>
      </c>
    </row>
    <row r="42" spans="1:9">
      <c r="A42" s="73">
        <v>42643</v>
      </c>
      <c r="B42" t="s">
        <v>24</v>
      </c>
      <c r="C42" t="s">
        <v>16</v>
      </c>
      <c r="D42" t="s">
        <v>11</v>
      </c>
      <c r="E42" t="s">
        <v>10</v>
      </c>
      <c r="F42">
        <v>6</v>
      </c>
      <c r="G42">
        <v>66</v>
      </c>
      <c r="H42" t="s">
        <v>261</v>
      </c>
      <c r="I42" t="s">
        <v>255</v>
      </c>
    </row>
    <row r="43" spans="1:9">
      <c r="A43" s="73">
        <v>42649</v>
      </c>
      <c r="B43" t="s">
        <v>17</v>
      </c>
      <c r="C43" t="s">
        <v>16</v>
      </c>
      <c r="D43" t="s">
        <v>15</v>
      </c>
      <c r="E43" t="s">
        <v>18</v>
      </c>
      <c r="F43">
        <v>3</v>
      </c>
      <c r="G43">
        <v>36</v>
      </c>
      <c r="H43" t="s">
        <v>261</v>
      </c>
      <c r="I43" t="s">
        <v>257</v>
      </c>
    </row>
    <row r="44" spans="1:9">
      <c r="A44" s="73">
        <v>42652</v>
      </c>
      <c r="B44" t="s">
        <v>22</v>
      </c>
      <c r="C44" t="s">
        <v>12</v>
      </c>
      <c r="D44" t="s">
        <v>19</v>
      </c>
      <c r="E44" t="s">
        <v>14</v>
      </c>
      <c r="F44">
        <v>2</v>
      </c>
      <c r="G44">
        <v>26</v>
      </c>
      <c r="H44" t="s">
        <v>261</v>
      </c>
      <c r="I44" t="s">
        <v>258</v>
      </c>
    </row>
    <row r="45" spans="1:9">
      <c r="A45" s="73">
        <v>42657</v>
      </c>
      <c r="B45" t="s">
        <v>24</v>
      </c>
      <c r="C45" t="s">
        <v>16</v>
      </c>
      <c r="D45" t="s">
        <v>15</v>
      </c>
      <c r="E45" t="s">
        <v>18</v>
      </c>
      <c r="F45">
        <v>1</v>
      </c>
      <c r="G45">
        <v>12</v>
      </c>
      <c r="H45" t="s">
        <v>261</v>
      </c>
      <c r="I45" t="s">
        <v>255</v>
      </c>
    </row>
    <row r="46" spans="1:9">
      <c r="A46" s="73">
        <v>42662</v>
      </c>
      <c r="B46" t="s">
        <v>17</v>
      </c>
      <c r="C46" t="s">
        <v>23</v>
      </c>
      <c r="D46" t="s">
        <v>15</v>
      </c>
      <c r="E46" t="s">
        <v>18</v>
      </c>
      <c r="F46">
        <v>2</v>
      </c>
      <c r="G46">
        <v>24</v>
      </c>
      <c r="H46" t="s">
        <v>261</v>
      </c>
      <c r="I46" t="s">
        <v>257</v>
      </c>
    </row>
    <row r="47" spans="1:9">
      <c r="A47" s="73">
        <v>42666</v>
      </c>
      <c r="B47" t="s">
        <v>9</v>
      </c>
      <c r="C47" t="s">
        <v>21</v>
      </c>
      <c r="D47" t="s">
        <v>11</v>
      </c>
      <c r="E47" t="s">
        <v>14</v>
      </c>
      <c r="F47">
        <v>8</v>
      </c>
      <c r="G47">
        <v>88</v>
      </c>
      <c r="H47">
        <v>4.4000000000000004</v>
      </c>
      <c r="I47" t="s">
        <v>259</v>
      </c>
    </row>
    <row r="48" spans="1:9">
      <c r="A48" s="73">
        <v>42669</v>
      </c>
      <c r="B48" t="s">
        <v>13</v>
      </c>
      <c r="C48" t="s">
        <v>16</v>
      </c>
      <c r="D48" t="s">
        <v>19</v>
      </c>
      <c r="E48" t="s">
        <v>18</v>
      </c>
      <c r="F48">
        <v>6</v>
      </c>
      <c r="G48">
        <v>78</v>
      </c>
      <c r="H48">
        <v>3.9</v>
      </c>
      <c r="I48" t="s">
        <v>260</v>
      </c>
    </row>
    <row r="49" spans="1:9">
      <c r="A49" s="73">
        <v>42673</v>
      </c>
      <c r="B49" t="s">
        <v>20</v>
      </c>
      <c r="C49" t="s">
        <v>23</v>
      </c>
      <c r="D49" t="s">
        <v>19</v>
      </c>
      <c r="E49" t="s">
        <v>10</v>
      </c>
      <c r="F49">
        <v>7</v>
      </c>
      <c r="G49">
        <v>91</v>
      </c>
      <c r="H49">
        <v>4.55</v>
      </c>
      <c r="I49" t="s">
        <v>256</v>
      </c>
    </row>
    <row r="50" spans="1:9">
      <c r="A50" s="73">
        <v>42679</v>
      </c>
      <c r="B50" t="s">
        <v>24</v>
      </c>
      <c r="C50" t="s">
        <v>16</v>
      </c>
      <c r="D50" t="s">
        <v>11</v>
      </c>
      <c r="E50" t="s">
        <v>14</v>
      </c>
      <c r="F50">
        <v>2</v>
      </c>
      <c r="G50">
        <v>22</v>
      </c>
      <c r="H50" t="s">
        <v>261</v>
      </c>
      <c r="I50" t="s">
        <v>255</v>
      </c>
    </row>
    <row r="51" spans="1:9">
      <c r="A51" s="73">
        <v>42684</v>
      </c>
      <c r="B51" t="s">
        <v>13</v>
      </c>
      <c r="C51" t="s">
        <v>21</v>
      </c>
      <c r="D51" t="s">
        <v>15</v>
      </c>
      <c r="E51" t="s">
        <v>10</v>
      </c>
      <c r="F51">
        <v>6</v>
      </c>
      <c r="G51">
        <v>72</v>
      </c>
      <c r="H51">
        <v>3.6</v>
      </c>
      <c r="I51" t="s">
        <v>260</v>
      </c>
    </row>
    <row r="52" spans="1:9">
      <c r="A52" s="73">
        <v>42689</v>
      </c>
      <c r="B52" t="s">
        <v>22</v>
      </c>
      <c r="C52" t="s">
        <v>21</v>
      </c>
      <c r="D52" t="s">
        <v>15</v>
      </c>
      <c r="E52" t="s">
        <v>18</v>
      </c>
      <c r="F52">
        <v>6</v>
      </c>
      <c r="G52">
        <v>72</v>
      </c>
      <c r="H52">
        <v>3.6</v>
      </c>
      <c r="I52" t="s">
        <v>258</v>
      </c>
    </row>
    <row r="53" spans="1:9">
      <c r="A53" s="73">
        <v>42694</v>
      </c>
      <c r="B53" t="s">
        <v>22</v>
      </c>
      <c r="C53" t="s">
        <v>12</v>
      </c>
      <c r="D53" t="s">
        <v>15</v>
      </c>
      <c r="E53" t="s">
        <v>10</v>
      </c>
      <c r="F53">
        <v>8</v>
      </c>
      <c r="G53">
        <v>96</v>
      </c>
      <c r="H53">
        <v>4.8</v>
      </c>
      <c r="I53" t="s">
        <v>258</v>
      </c>
    </row>
    <row r="54" spans="1:9">
      <c r="A54" s="73">
        <v>42697</v>
      </c>
      <c r="B54" t="s">
        <v>17</v>
      </c>
      <c r="C54" t="s">
        <v>16</v>
      </c>
      <c r="D54" t="s">
        <v>11</v>
      </c>
      <c r="E54" t="s">
        <v>14</v>
      </c>
      <c r="F54">
        <v>3</v>
      </c>
      <c r="G54">
        <v>33</v>
      </c>
      <c r="H54" t="s">
        <v>261</v>
      </c>
      <c r="I54" t="s">
        <v>257</v>
      </c>
    </row>
    <row r="55" spans="1:9">
      <c r="A55" s="73">
        <v>42702</v>
      </c>
      <c r="B55" t="s">
        <v>24</v>
      </c>
      <c r="C55" t="s">
        <v>21</v>
      </c>
      <c r="D55" t="s">
        <v>15</v>
      </c>
      <c r="E55" t="s">
        <v>10</v>
      </c>
      <c r="F55">
        <v>2</v>
      </c>
      <c r="G55">
        <v>24</v>
      </c>
      <c r="H55" t="s">
        <v>261</v>
      </c>
      <c r="I55" t="s">
        <v>255</v>
      </c>
    </row>
    <row r="56" spans="1:9">
      <c r="A56" s="73">
        <v>42704</v>
      </c>
      <c r="B56" t="s">
        <v>20</v>
      </c>
      <c r="C56" t="s">
        <v>16</v>
      </c>
      <c r="D56" t="s">
        <v>15</v>
      </c>
      <c r="E56" t="s">
        <v>14</v>
      </c>
      <c r="F56">
        <v>1</v>
      </c>
      <c r="G56">
        <v>12</v>
      </c>
      <c r="H56" t="s">
        <v>261</v>
      </c>
      <c r="I56" t="s">
        <v>256</v>
      </c>
    </row>
    <row r="57" spans="1:9">
      <c r="A57" s="73">
        <v>42708</v>
      </c>
      <c r="B57" t="s">
        <v>13</v>
      </c>
      <c r="C57" t="s">
        <v>16</v>
      </c>
      <c r="D57" t="s">
        <v>15</v>
      </c>
      <c r="E57" t="s">
        <v>10</v>
      </c>
      <c r="F57">
        <v>8</v>
      </c>
      <c r="G57">
        <v>96</v>
      </c>
      <c r="H57">
        <v>4.8</v>
      </c>
      <c r="I57" t="s">
        <v>260</v>
      </c>
    </row>
    <row r="58" spans="1:9">
      <c r="A58" s="73">
        <v>42711</v>
      </c>
      <c r="B58" t="s">
        <v>20</v>
      </c>
      <c r="C58" t="s">
        <v>21</v>
      </c>
      <c r="D58" t="s">
        <v>19</v>
      </c>
      <c r="E58" t="s">
        <v>18</v>
      </c>
      <c r="F58">
        <v>1</v>
      </c>
      <c r="G58">
        <v>13</v>
      </c>
      <c r="H58" t="s">
        <v>261</v>
      </c>
      <c r="I58" t="s">
        <v>256</v>
      </c>
    </row>
    <row r="59" spans="1:9">
      <c r="A59" s="73">
        <v>42713</v>
      </c>
      <c r="B59" t="s">
        <v>22</v>
      </c>
      <c r="C59" t="s">
        <v>23</v>
      </c>
      <c r="D59" t="s">
        <v>19</v>
      </c>
      <c r="E59" t="s">
        <v>18</v>
      </c>
      <c r="F59">
        <v>5</v>
      </c>
      <c r="G59">
        <v>65</v>
      </c>
      <c r="H59" t="s">
        <v>261</v>
      </c>
      <c r="I59" t="s">
        <v>258</v>
      </c>
    </row>
    <row r="60" spans="1:9">
      <c r="A60" s="73">
        <v>42718</v>
      </c>
      <c r="B60" t="s">
        <v>24</v>
      </c>
      <c r="C60" t="s">
        <v>21</v>
      </c>
      <c r="D60" t="s">
        <v>15</v>
      </c>
      <c r="E60" t="s">
        <v>10</v>
      </c>
      <c r="F60">
        <v>1</v>
      </c>
      <c r="G60">
        <v>12</v>
      </c>
      <c r="H60" t="s">
        <v>261</v>
      </c>
      <c r="I60" t="s">
        <v>255</v>
      </c>
    </row>
    <row r="61" spans="1:9">
      <c r="A61" s="73">
        <v>42720</v>
      </c>
      <c r="B61" t="s">
        <v>13</v>
      </c>
      <c r="C61" t="s">
        <v>21</v>
      </c>
      <c r="D61" t="s">
        <v>15</v>
      </c>
      <c r="E61" t="s">
        <v>10</v>
      </c>
      <c r="F61">
        <v>1</v>
      </c>
      <c r="G61">
        <v>12</v>
      </c>
      <c r="H61" t="s">
        <v>261</v>
      </c>
      <c r="I61" t="s">
        <v>260</v>
      </c>
    </row>
    <row r="62" spans="1:9">
      <c r="A62" s="73">
        <v>42724</v>
      </c>
      <c r="B62" t="s">
        <v>17</v>
      </c>
      <c r="C62" t="s">
        <v>23</v>
      </c>
      <c r="D62" t="s">
        <v>19</v>
      </c>
      <c r="E62" t="s">
        <v>18</v>
      </c>
      <c r="F62">
        <v>4</v>
      </c>
      <c r="G62">
        <v>52</v>
      </c>
      <c r="H62" t="s">
        <v>261</v>
      </c>
      <c r="I62" t="s">
        <v>257</v>
      </c>
    </row>
    <row r="63" spans="1:9">
      <c r="A63" s="73">
        <v>42727</v>
      </c>
      <c r="B63" t="s">
        <v>22</v>
      </c>
      <c r="C63" t="s">
        <v>16</v>
      </c>
      <c r="D63" t="s">
        <v>15</v>
      </c>
      <c r="E63" t="s">
        <v>10</v>
      </c>
      <c r="F63">
        <v>5</v>
      </c>
      <c r="G63">
        <v>60</v>
      </c>
      <c r="H63" t="s">
        <v>261</v>
      </c>
      <c r="I63" t="s">
        <v>258</v>
      </c>
    </row>
    <row r="64" spans="1:9">
      <c r="A64" s="73">
        <v>42729</v>
      </c>
      <c r="B64" t="s">
        <v>20</v>
      </c>
      <c r="C64" t="s">
        <v>23</v>
      </c>
      <c r="D64" t="s">
        <v>19</v>
      </c>
      <c r="E64" t="s">
        <v>10</v>
      </c>
      <c r="F64">
        <v>3</v>
      </c>
      <c r="G64">
        <v>39</v>
      </c>
      <c r="H64" t="s">
        <v>261</v>
      </c>
      <c r="I64" t="s">
        <v>256</v>
      </c>
    </row>
    <row r="65" spans="1:9">
      <c r="A65" s="73">
        <v>42732</v>
      </c>
      <c r="B65" t="s">
        <v>17</v>
      </c>
      <c r="C65" t="s">
        <v>21</v>
      </c>
      <c r="D65" t="s">
        <v>15</v>
      </c>
      <c r="E65" t="s">
        <v>18</v>
      </c>
      <c r="F65">
        <v>8</v>
      </c>
      <c r="G65">
        <v>96</v>
      </c>
      <c r="H65">
        <v>4.8</v>
      </c>
      <c r="I65" t="s">
        <v>257</v>
      </c>
    </row>
    <row r="66" spans="1:9">
      <c r="A66" s="73">
        <v>42735</v>
      </c>
      <c r="B66" t="s">
        <v>13</v>
      </c>
      <c r="C66" t="s">
        <v>12</v>
      </c>
      <c r="D66" t="s">
        <v>15</v>
      </c>
      <c r="E66" t="s">
        <v>10</v>
      </c>
      <c r="F66">
        <v>6</v>
      </c>
      <c r="G66">
        <v>72</v>
      </c>
      <c r="H66">
        <v>3.6</v>
      </c>
      <c r="I66" t="s">
        <v>260</v>
      </c>
    </row>
    <row r="67" spans="1:9">
      <c r="A67" s="73">
        <v>42740</v>
      </c>
      <c r="B67" t="s">
        <v>22</v>
      </c>
      <c r="C67" t="s">
        <v>23</v>
      </c>
      <c r="D67" t="s">
        <v>15</v>
      </c>
      <c r="E67" t="s">
        <v>18</v>
      </c>
      <c r="F67">
        <v>1</v>
      </c>
      <c r="G67">
        <v>12</v>
      </c>
      <c r="H67" t="s">
        <v>261</v>
      </c>
      <c r="I67" t="s">
        <v>258</v>
      </c>
    </row>
    <row r="68" spans="1:9">
      <c r="A68" s="73">
        <v>42744</v>
      </c>
      <c r="B68" t="s">
        <v>24</v>
      </c>
      <c r="C68" t="s">
        <v>23</v>
      </c>
      <c r="D68" t="s">
        <v>19</v>
      </c>
      <c r="E68" t="s">
        <v>18</v>
      </c>
      <c r="F68">
        <v>8</v>
      </c>
      <c r="G68">
        <v>104</v>
      </c>
      <c r="H68">
        <v>5.2</v>
      </c>
      <c r="I68" t="s">
        <v>255</v>
      </c>
    </row>
    <row r="69" spans="1:9">
      <c r="A69" s="73">
        <v>42746</v>
      </c>
      <c r="B69" t="s">
        <v>13</v>
      </c>
      <c r="C69" t="s">
        <v>16</v>
      </c>
      <c r="D69" t="s">
        <v>15</v>
      </c>
      <c r="E69" t="s">
        <v>18</v>
      </c>
      <c r="F69">
        <v>5</v>
      </c>
      <c r="G69">
        <v>60</v>
      </c>
      <c r="H69" t="s">
        <v>261</v>
      </c>
      <c r="I69" t="s">
        <v>260</v>
      </c>
    </row>
    <row r="70" spans="1:9">
      <c r="A70" s="73">
        <v>42751</v>
      </c>
      <c r="B70" t="s">
        <v>17</v>
      </c>
      <c r="C70" t="s">
        <v>21</v>
      </c>
      <c r="D70" t="s">
        <v>19</v>
      </c>
      <c r="E70" t="s">
        <v>14</v>
      </c>
      <c r="F70">
        <v>6</v>
      </c>
      <c r="G70">
        <v>78</v>
      </c>
      <c r="H70">
        <v>3.9</v>
      </c>
      <c r="I70" t="s">
        <v>257</v>
      </c>
    </row>
    <row r="71" spans="1:9">
      <c r="A71" s="73">
        <v>42754</v>
      </c>
      <c r="B71" t="s">
        <v>9</v>
      </c>
      <c r="C71" t="s">
        <v>21</v>
      </c>
      <c r="D71" t="s">
        <v>15</v>
      </c>
      <c r="E71" t="s">
        <v>18</v>
      </c>
      <c r="F71">
        <v>8</v>
      </c>
      <c r="G71">
        <v>96</v>
      </c>
      <c r="H71">
        <v>4.8</v>
      </c>
      <c r="I71" t="s">
        <v>259</v>
      </c>
    </row>
    <row r="72" spans="1:9">
      <c r="A72" s="73">
        <v>42759</v>
      </c>
      <c r="B72" t="s">
        <v>20</v>
      </c>
      <c r="C72" t="s">
        <v>12</v>
      </c>
      <c r="D72" t="s">
        <v>15</v>
      </c>
      <c r="E72" t="s">
        <v>14</v>
      </c>
      <c r="F72">
        <v>3</v>
      </c>
      <c r="G72">
        <v>36</v>
      </c>
      <c r="H72" t="s">
        <v>261</v>
      </c>
      <c r="I72" t="s">
        <v>256</v>
      </c>
    </row>
    <row r="73" spans="1:9">
      <c r="A73" s="73">
        <v>42763</v>
      </c>
      <c r="B73" t="s">
        <v>13</v>
      </c>
      <c r="C73" t="s">
        <v>16</v>
      </c>
      <c r="D73" t="s">
        <v>19</v>
      </c>
      <c r="E73" t="s">
        <v>18</v>
      </c>
      <c r="F73">
        <v>5</v>
      </c>
      <c r="G73">
        <v>65</v>
      </c>
      <c r="H73" t="s">
        <v>261</v>
      </c>
      <c r="I73" t="s">
        <v>260</v>
      </c>
    </row>
    <row r="74" spans="1:9">
      <c r="A74" s="73">
        <v>42766</v>
      </c>
      <c r="B74" t="s">
        <v>17</v>
      </c>
      <c r="C74" t="s">
        <v>12</v>
      </c>
      <c r="D74" t="s">
        <v>19</v>
      </c>
      <c r="E74" t="s">
        <v>10</v>
      </c>
      <c r="F74">
        <v>5</v>
      </c>
      <c r="G74">
        <v>65</v>
      </c>
      <c r="H74" t="s">
        <v>261</v>
      </c>
      <c r="I74" t="s">
        <v>257</v>
      </c>
    </row>
    <row r="75" spans="1:9">
      <c r="A75" s="73">
        <v>42769</v>
      </c>
      <c r="B75" t="s">
        <v>20</v>
      </c>
      <c r="C75" t="s">
        <v>16</v>
      </c>
      <c r="D75" t="s">
        <v>19</v>
      </c>
      <c r="E75" t="s">
        <v>10</v>
      </c>
      <c r="F75">
        <v>1</v>
      </c>
      <c r="G75">
        <v>13</v>
      </c>
      <c r="H75" t="s">
        <v>261</v>
      </c>
      <c r="I75" t="s">
        <v>256</v>
      </c>
    </row>
    <row r="76" spans="1:9">
      <c r="A76" s="73">
        <v>42774</v>
      </c>
      <c r="B76" t="s">
        <v>20</v>
      </c>
      <c r="C76" t="s">
        <v>16</v>
      </c>
      <c r="D76" t="s">
        <v>11</v>
      </c>
      <c r="E76" t="s">
        <v>18</v>
      </c>
      <c r="F76">
        <v>4</v>
      </c>
      <c r="G76">
        <v>44</v>
      </c>
      <c r="H76" t="s">
        <v>261</v>
      </c>
      <c r="I76" t="s">
        <v>256</v>
      </c>
    </row>
    <row r="77" spans="1:9">
      <c r="A77" s="73">
        <v>42776</v>
      </c>
      <c r="B77" t="s">
        <v>13</v>
      </c>
      <c r="C77" t="s">
        <v>12</v>
      </c>
      <c r="D77" t="s">
        <v>11</v>
      </c>
      <c r="E77" t="s">
        <v>18</v>
      </c>
      <c r="F77">
        <v>2</v>
      </c>
      <c r="G77">
        <v>22</v>
      </c>
      <c r="H77" t="s">
        <v>261</v>
      </c>
      <c r="I77" t="s">
        <v>260</v>
      </c>
    </row>
    <row r="78" spans="1:9">
      <c r="A78" s="73">
        <v>42780</v>
      </c>
      <c r="B78" t="s">
        <v>9</v>
      </c>
      <c r="C78" t="s">
        <v>16</v>
      </c>
      <c r="D78" t="s">
        <v>19</v>
      </c>
      <c r="E78" t="s">
        <v>10</v>
      </c>
      <c r="F78">
        <v>6</v>
      </c>
      <c r="G78">
        <v>78</v>
      </c>
      <c r="H78">
        <v>3.9</v>
      </c>
      <c r="I78" t="s">
        <v>259</v>
      </c>
    </row>
    <row r="79" spans="1:9">
      <c r="A79" s="73">
        <v>42782</v>
      </c>
      <c r="B79" t="s">
        <v>22</v>
      </c>
      <c r="C79" t="s">
        <v>23</v>
      </c>
      <c r="D79" t="s">
        <v>15</v>
      </c>
      <c r="E79" t="s">
        <v>14</v>
      </c>
      <c r="F79">
        <v>7</v>
      </c>
      <c r="G79">
        <v>84</v>
      </c>
      <c r="H79">
        <v>4.2</v>
      </c>
      <c r="I79" t="s">
        <v>258</v>
      </c>
    </row>
    <row r="80" spans="1:9">
      <c r="A80" s="73">
        <v>42784</v>
      </c>
      <c r="B80" t="s">
        <v>9</v>
      </c>
      <c r="C80" t="s">
        <v>12</v>
      </c>
      <c r="D80" t="s">
        <v>15</v>
      </c>
      <c r="E80" t="s">
        <v>18</v>
      </c>
      <c r="F80">
        <v>5</v>
      </c>
      <c r="G80">
        <v>60</v>
      </c>
      <c r="H80" t="s">
        <v>261</v>
      </c>
      <c r="I80" t="s">
        <v>259</v>
      </c>
    </row>
    <row r="81" spans="1:9">
      <c r="A81" s="73">
        <v>42789</v>
      </c>
      <c r="B81" t="s">
        <v>13</v>
      </c>
      <c r="C81" t="s">
        <v>23</v>
      </c>
      <c r="D81" t="s">
        <v>19</v>
      </c>
      <c r="E81" t="s">
        <v>14</v>
      </c>
      <c r="F81">
        <v>8</v>
      </c>
      <c r="G81">
        <v>104</v>
      </c>
      <c r="H81">
        <v>5.2</v>
      </c>
      <c r="I81" t="s">
        <v>260</v>
      </c>
    </row>
    <row r="82" spans="1:9">
      <c r="A82" s="73">
        <v>42793</v>
      </c>
      <c r="B82" t="s">
        <v>17</v>
      </c>
      <c r="C82" t="s">
        <v>12</v>
      </c>
      <c r="D82" t="s">
        <v>11</v>
      </c>
      <c r="E82" t="s">
        <v>10</v>
      </c>
      <c r="F82">
        <v>3</v>
      </c>
      <c r="G82">
        <v>33</v>
      </c>
      <c r="H82" t="s">
        <v>261</v>
      </c>
      <c r="I82" t="s">
        <v>257</v>
      </c>
    </row>
    <row r="83" spans="1:9">
      <c r="A83" s="73">
        <v>42796</v>
      </c>
      <c r="B83" t="s">
        <v>13</v>
      </c>
      <c r="C83" t="s">
        <v>12</v>
      </c>
      <c r="D83" t="s">
        <v>15</v>
      </c>
      <c r="E83" t="s">
        <v>18</v>
      </c>
      <c r="F83">
        <v>4</v>
      </c>
      <c r="G83">
        <v>48</v>
      </c>
      <c r="H83" t="s">
        <v>261</v>
      </c>
      <c r="I83" t="s">
        <v>260</v>
      </c>
    </row>
    <row r="84" spans="1:9">
      <c r="A84" s="73">
        <v>42799</v>
      </c>
      <c r="B84" t="s">
        <v>24</v>
      </c>
      <c r="C84" t="s">
        <v>23</v>
      </c>
      <c r="D84" t="s">
        <v>15</v>
      </c>
      <c r="E84" t="s">
        <v>18</v>
      </c>
      <c r="F84">
        <v>7</v>
      </c>
      <c r="G84">
        <v>84</v>
      </c>
      <c r="H84">
        <v>4.2</v>
      </c>
      <c r="I84" t="s">
        <v>255</v>
      </c>
    </row>
    <row r="85" spans="1:9">
      <c r="A85" s="73">
        <v>42802</v>
      </c>
      <c r="B85" t="s">
        <v>13</v>
      </c>
      <c r="C85" t="s">
        <v>12</v>
      </c>
      <c r="D85" t="s">
        <v>11</v>
      </c>
      <c r="E85" t="s">
        <v>10</v>
      </c>
      <c r="F85">
        <v>5</v>
      </c>
      <c r="G85">
        <v>55</v>
      </c>
      <c r="H85" t="s">
        <v>261</v>
      </c>
      <c r="I85" t="s">
        <v>260</v>
      </c>
    </row>
    <row r="86" spans="1:9">
      <c r="A86" s="73">
        <v>42807</v>
      </c>
      <c r="B86" t="s">
        <v>17</v>
      </c>
      <c r="C86" t="s">
        <v>23</v>
      </c>
      <c r="D86" t="s">
        <v>19</v>
      </c>
      <c r="E86" t="s">
        <v>10</v>
      </c>
      <c r="F86">
        <v>8</v>
      </c>
      <c r="G86">
        <v>104</v>
      </c>
      <c r="H86">
        <v>5.2</v>
      </c>
      <c r="I86" t="s">
        <v>257</v>
      </c>
    </row>
    <row r="87" spans="1:9">
      <c r="A87" s="73">
        <v>42810</v>
      </c>
      <c r="B87" t="s">
        <v>22</v>
      </c>
      <c r="C87" t="s">
        <v>12</v>
      </c>
      <c r="D87" t="s">
        <v>15</v>
      </c>
      <c r="E87" t="s">
        <v>18</v>
      </c>
      <c r="F87">
        <v>7</v>
      </c>
      <c r="G87">
        <v>84</v>
      </c>
      <c r="H87">
        <v>4.2</v>
      </c>
      <c r="I87" t="s">
        <v>258</v>
      </c>
    </row>
    <row r="88" spans="1:9">
      <c r="A88" s="73">
        <v>42815</v>
      </c>
      <c r="B88" t="s">
        <v>17</v>
      </c>
      <c r="C88" t="s">
        <v>12</v>
      </c>
      <c r="D88" t="s">
        <v>15</v>
      </c>
      <c r="E88" t="s">
        <v>14</v>
      </c>
      <c r="F88">
        <v>1</v>
      </c>
      <c r="G88">
        <v>12</v>
      </c>
      <c r="H88" t="s">
        <v>261</v>
      </c>
      <c r="I88" t="s">
        <v>257</v>
      </c>
    </row>
    <row r="89" spans="1:9">
      <c r="A89" s="73">
        <v>42817</v>
      </c>
      <c r="B89" t="s">
        <v>17</v>
      </c>
      <c r="C89" t="s">
        <v>21</v>
      </c>
      <c r="D89" t="s">
        <v>19</v>
      </c>
      <c r="E89" t="s">
        <v>10</v>
      </c>
      <c r="F89">
        <v>3</v>
      </c>
      <c r="G89">
        <v>39</v>
      </c>
      <c r="H89" t="s">
        <v>261</v>
      </c>
      <c r="I89" t="s">
        <v>257</v>
      </c>
    </row>
    <row r="90" spans="1:9">
      <c r="A90" s="73">
        <v>42822</v>
      </c>
      <c r="B90" t="s">
        <v>13</v>
      </c>
      <c r="C90" t="s">
        <v>12</v>
      </c>
      <c r="D90" t="s">
        <v>19</v>
      </c>
      <c r="E90" t="s">
        <v>18</v>
      </c>
      <c r="F90">
        <v>5</v>
      </c>
      <c r="G90">
        <v>65</v>
      </c>
      <c r="H90" t="s">
        <v>261</v>
      </c>
      <c r="I90" t="s">
        <v>260</v>
      </c>
    </row>
    <row r="91" spans="1:9">
      <c r="A91" s="73">
        <v>42825</v>
      </c>
      <c r="B91" t="s">
        <v>13</v>
      </c>
      <c r="C91" t="s">
        <v>21</v>
      </c>
      <c r="D91" t="s">
        <v>11</v>
      </c>
      <c r="E91" t="s">
        <v>10</v>
      </c>
      <c r="F91">
        <v>7</v>
      </c>
      <c r="G91">
        <v>77</v>
      </c>
      <c r="H91">
        <v>3.85</v>
      </c>
      <c r="I91" t="s">
        <v>260</v>
      </c>
    </row>
    <row r="92" spans="1:9">
      <c r="A92" s="73">
        <v>42828</v>
      </c>
      <c r="B92" t="s">
        <v>20</v>
      </c>
      <c r="C92" t="s">
        <v>12</v>
      </c>
      <c r="D92" t="s">
        <v>11</v>
      </c>
      <c r="E92" t="s">
        <v>10</v>
      </c>
      <c r="F92">
        <v>4</v>
      </c>
      <c r="G92">
        <v>44</v>
      </c>
      <c r="H92" t="s">
        <v>261</v>
      </c>
      <c r="I92" t="s">
        <v>256</v>
      </c>
    </row>
    <row r="93" spans="1:9">
      <c r="A93" s="73">
        <v>42831</v>
      </c>
      <c r="B93" t="s">
        <v>17</v>
      </c>
      <c r="C93" t="s">
        <v>12</v>
      </c>
      <c r="D93" t="s">
        <v>15</v>
      </c>
      <c r="E93" t="s">
        <v>10</v>
      </c>
      <c r="F93">
        <v>1</v>
      </c>
      <c r="G93">
        <v>12</v>
      </c>
      <c r="H93" t="s">
        <v>261</v>
      </c>
      <c r="I93" t="s">
        <v>257</v>
      </c>
    </row>
    <row r="94" spans="1:9">
      <c r="A94" s="73">
        <v>42833</v>
      </c>
      <c r="B94" t="s">
        <v>13</v>
      </c>
      <c r="C94" t="s">
        <v>23</v>
      </c>
      <c r="D94" t="s">
        <v>11</v>
      </c>
      <c r="E94" t="s">
        <v>18</v>
      </c>
      <c r="F94">
        <v>2</v>
      </c>
      <c r="G94">
        <v>22</v>
      </c>
      <c r="H94" t="s">
        <v>261</v>
      </c>
      <c r="I94" t="s">
        <v>260</v>
      </c>
    </row>
    <row r="95" spans="1:9">
      <c r="A95" s="73">
        <v>42835</v>
      </c>
      <c r="B95" t="s">
        <v>22</v>
      </c>
      <c r="C95" t="s">
        <v>12</v>
      </c>
      <c r="D95" t="s">
        <v>15</v>
      </c>
      <c r="E95" t="s">
        <v>14</v>
      </c>
      <c r="F95">
        <v>8</v>
      </c>
      <c r="G95">
        <v>96</v>
      </c>
      <c r="H95">
        <v>4.8</v>
      </c>
      <c r="I95" t="s">
        <v>258</v>
      </c>
    </row>
    <row r="96" spans="1:9">
      <c r="A96" s="73">
        <v>42837</v>
      </c>
      <c r="B96" t="s">
        <v>20</v>
      </c>
      <c r="C96" t="s">
        <v>21</v>
      </c>
      <c r="D96" t="s">
        <v>19</v>
      </c>
      <c r="E96" t="s">
        <v>10</v>
      </c>
      <c r="F96">
        <v>1</v>
      </c>
      <c r="G96">
        <v>13</v>
      </c>
      <c r="H96" t="s">
        <v>261</v>
      </c>
      <c r="I96" t="s">
        <v>256</v>
      </c>
    </row>
    <row r="97" spans="1:9">
      <c r="A97" s="73">
        <v>42840</v>
      </c>
      <c r="B97" t="s">
        <v>9</v>
      </c>
      <c r="C97" t="s">
        <v>12</v>
      </c>
      <c r="D97" t="s">
        <v>11</v>
      </c>
      <c r="E97" t="s">
        <v>14</v>
      </c>
      <c r="F97">
        <v>3</v>
      </c>
      <c r="G97">
        <v>33</v>
      </c>
      <c r="H97" t="s">
        <v>261</v>
      </c>
      <c r="I97" t="s">
        <v>259</v>
      </c>
    </row>
    <row r="98" spans="1:9">
      <c r="A98" s="73">
        <v>42843</v>
      </c>
      <c r="B98" t="s">
        <v>24</v>
      </c>
      <c r="C98" t="s">
        <v>12</v>
      </c>
      <c r="D98" t="s">
        <v>19</v>
      </c>
      <c r="E98" t="s">
        <v>18</v>
      </c>
      <c r="F98">
        <v>4</v>
      </c>
      <c r="G98">
        <v>52</v>
      </c>
      <c r="H98" t="s">
        <v>261</v>
      </c>
      <c r="I98" t="s">
        <v>255</v>
      </c>
    </row>
    <row r="99" spans="1:9">
      <c r="A99" s="73">
        <v>42845</v>
      </c>
      <c r="B99" t="s">
        <v>22</v>
      </c>
      <c r="C99" t="s">
        <v>23</v>
      </c>
      <c r="D99" t="s">
        <v>11</v>
      </c>
      <c r="E99" t="s">
        <v>10</v>
      </c>
      <c r="F99">
        <v>2</v>
      </c>
      <c r="G99">
        <v>22</v>
      </c>
      <c r="H99" t="s">
        <v>261</v>
      </c>
      <c r="I99" t="s">
        <v>258</v>
      </c>
    </row>
    <row r="100" spans="1:9">
      <c r="A100" s="73">
        <v>42848</v>
      </c>
      <c r="B100" t="s">
        <v>20</v>
      </c>
      <c r="C100" t="s">
        <v>12</v>
      </c>
      <c r="D100" t="s">
        <v>11</v>
      </c>
      <c r="E100" t="s">
        <v>14</v>
      </c>
      <c r="F100">
        <v>5</v>
      </c>
      <c r="G100">
        <v>55</v>
      </c>
      <c r="H100" t="s">
        <v>261</v>
      </c>
      <c r="I100" t="s">
        <v>256</v>
      </c>
    </row>
    <row r="101" spans="1:9">
      <c r="A101" s="73">
        <v>42851</v>
      </c>
      <c r="B101" t="s">
        <v>17</v>
      </c>
      <c r="C101" t="s">
        <v>23</v>
      </c>
      <c r="D101" t="s">
        <v>15</v>
      </c>
      <c r="E101" t="s">
        <v>14</v>
      </c>
      <c r="F101">
        <v>1</v>
      </c>
      <c r="G101">
        <v>12</v>
      </c>
      <c r="H101" t="s">
        <v>261</v>
      </c>
      <c r="I101" t="s">
        <v>257</v>
      </c>
    </row>
    <row r="102" spans="1:9">
      <c r="A102" s="73">
        <v>42854</v>
      </c>
      <c r="B102" t="s">
        <v>13</v>
      </c>
      <c r="C102" t="s">
        <v>16</v>
      </c>
      <c r="D102" t="s">
        <v>11</v>
      </c>
      <c r="E102" t="s">
        <v>18</v>
      </c>
      <c r="F102">
        <v>2</v>
      </c>
      <c r="G102">
        <v>22</v>
      </c>
      <c r="H102" t="s">
        <v>261</v>
      </c>
      <c r="I102" t="s">
        <v>260</v>
      </c>
    </row>
    <row r="103" spans="1:9">
      <c r="A103" s="73">
        <v>42857</v>
      </c>
      <c r="B103" t="s">
        <v>20</v>
      </c>
      <c r="C103" t="s">
        <v>23</v>
      </c>
      <c r="D103" t="s">
        <v>15</v>
      </c>
      <c r="E103" t="s">
        <v>14</v>
      </c>
      <c r="F103">
        <v>7</v>
      </c>
      <c r="G103">
        <v>84</v>
      </c>
      <c r="H103">
        <v>4.2</v>
      </c>
      <c r="I103" t="s">
        <v>256</v>
      </c>
    </row>
    <row r="104" spans="1:9">
      <c r="A104" s="73">
        <v>42861</v>
      </c>
      <c r="B104" t="s">
        <v>13</v>
      </c>
      <c r="C104" t="s">
        <v>21</v>
      </c>
      <c r="D104" t="s">
        <v>11</v>
      </c>
      <c r="E104" t="s">
        <v>10</v>
      </c>
      <c r="F104">
        <v>5</v>
      </c>
      <c r="G104">
        <v>55</v>
      </c>
      <c r="H104" t="s">
        <v>261</v>
      </c>
      <c r="I104" t="s">
        <v>260</v>
      </c>
    </row>
    <row r="105" spans="1:9">
      <c r="A105" s="73">
        <v>42865</v>
      </c>
      <c r="B105" t="s">
        <v>17</v>
      </c>
      <c r="C105" t="s">
        <v>12</v>
      </c>
      <c r="D105" t="s">
        <v>11</v>
      </c>
      <c r="E105" t="s">
        <v>10</v>
      </c>
      <c r="F105">
        <v>2</v>
      </c>
      <c r="G105">
        <v>22</v>
      </c>
      <c r="H105" t="s">
        <v>261</v>
      </c>
      <c r="I105" t="s">
        <v>257</v>
      </c>
    </row>
    <row r="106" spans="1:9">
      <c r="A106" s="73">
        <v>42869</v>
      </c>
      <c r="B106" t="s">
        <v>9</v>
      </c>
      <c r="C106" t="s">
        <v>12</v>
      </c>
      <c r="D106" t="s">
        <v>19</v>
      </c>
      <c r="E106" t="s">
        <v>18</v>
      </c>
      <c r="F106">
        <v>3</v>
      </c>
      <c r="G106">
        <v>39</v>
      </c>
      <c r="H106" t="s">
        <v>261</v>
      </c>
      <c r="I106" t="s">
        <v>259</v>
      </c>
    </row>
    <row r="107" spans="1:9">
      <c r="A107" s="73">
        <v>42872</v>
      </c>
      <c r="B107" t="s">
        <v>20</v>
      </c>
      <c r="C107" t="s">
        <v>21</v>
      </c>
      <c r="D107" t="s">
        <v>19</v>
      </c>
      <c r="E107" t="s">
        <v>14</v>
      </c>
      <c r="F107">
        <v>2</v>
      </c>
      <c r="G107">
        <v>26</v>
      </c>
      <c r="H107" t="s">
        <v>261</v>
      </c>
      <c r="I107" t="s">
        <v>256</v>
      </c>
    </row>
    <row r="108" spans="1:9">
      <c r="A108" s="73">
        <v>42874</v>
      </c>
      <c r="B108" t="s">
        <v>9</v>
      </c>
      <c r="C108" t="s">
        <v>12</v>
      </c>
      <c r="D108" t="s">
        <v>19</v>
      </c>
      <c r="E108" t="s">
        <v>18</v>
      </c>
      <c r="F108">
        <v>3</v>
      </c>
      <c r="G108">
        <v>39</v>
      </c>
      <c r="H108" t="s">
        <v>261</v>
      </c>
      <c r="I108" t="s">
        <v>259</v>
      </c>
    </row>
    <row r="109" spans="1:9">
      <c r="A109" s="73">
        <v>42877</v>
      </c>
      <c r="B109" t="s">
        <v>13</v>
      </c>
      <c r="C109" t="s">
        <v>12</v>
      </c>
      <c r="D109" t="s">
        <v>15</v>
      </c>
      <c r="E109" t="s">
        <v>10</v>
      </c>
      <c r="F109">
        <v>8</v>
      </c>
      <c r="G109">
        <v>96</v>
      </c>
      <c r="H109">
        <v>4.8</v>
      </c>
      <c r="I109" t="s">
        <v>260</v>
      </c>
    </row>
    <row r="110" spans="1:9">
      <c r="A110" s="73">
        <v>42881</v>
      </c>
      <c r="B110" t="s">
        <v>20</v>
      </c>
      <c r="C110" t="s">
        <v>12</v>
      </c>
      <c r="D110" t="s">
        <v>11</v>
      </c>
      <c r="E110" t="s">
        <v>18</v>
      </c>
      <c r="F110">
        <v>1</v>
      </c>
      <c r="G110">
        <v>11</v>
      </c>
      <c r="H110" t="s">
        <v>261</v>
      </c>
      <c r="I110" t="s">
        <v>256</v>
      </c>
    </row>
    <row r="111" spans="1:9">
      <c r="A111" s="73">
        <v>42883</v>
      </c>
      <c r="B111" t="s">
        <v>24</v>
      </c>
      <c r="C111" t="s">
        <v>12</v>
      </c>
      <c r="D111" t="s">
        <v>11</v>
      </c>
      <c r="E111" t="s">
        <v>14</v>
      </c>
      <c r="F111">
        <v>8</v>
      </c>
      <c r="G111">
        <v>88</v>
      </c>
      <c r="H111">
        <v>4.4000000000000004</v>
      </c>
      <c r="I111" t="s">
        <v>255</v>
      </c>
    </row>
    <row r="112" spans="1:9">
      <c r="A112" s="73">
        <v>42885</v>
      </c>
      <c r="B112" t="s">
        <v>22</v>
      </c>
      <c r="C112" t="s">
        <v>23</v>
      </c>
      <c r="D112" t="s">
        <v>19</v>
      </c>
      <c r="E112" t="s">
        <v>18</v>
      </c>
      <c r="F112">
        <v>5</v>
      </c>
      <c r="G112">
        <v>65</v>
      </c>
      <c r="H112" t="s">
        <v>261</v>
      </c>
      <c r="I112" t="s">
        <v>258</v>
      </c>
    </row>
    <row r="113" spans="1:9">
      <c r="A113" s="73">
        <v>42889</v>
      </c>
      <c r="B113" t="s">
        <v>22</v>
      </c>
      <c r="C113" t="s">
        <v>16</v>
      </c>
      <c r="D113" t="s">
        <v>15</v>
      </c>
      <c r="E113" t="s">
        <v>10</v>
      </c>
      <c r="F113">
        <v>1</v>
      </c>
      <c r="G113">
        <v>12</v>
      </c>
      <c r="H113" t="s">
        <v>261</v>
      </c>
      <c r="I113" t="s">
        <v>258</v>
      </c>
    </row>
    <row r="114" spans="1:9">
      <c r="A114" s="73">
        <v>42892</v>
      </c>
      <c r="B114" t="s">
        <v>20</v>
      </c>
      <c r="C114" t="s">
        <v>12</v>
      </c>
      <c r="D114" t="s">
        <v>11</v>
      </c>
      <c r="E114" t="s">
        <v>10</v>
      </c>
      <c r="F114">
        <v>8</v>
      </c>
      <c r="G114">
        <v>88</v>
      </c>
      <c r="H114">
        <v>4.4000000000000004</v>
      </c>
      <c r="I114" t="s">
        <v>256</v>
      </c>
    </row>
    <row r="115" spans="1:9">
      <c r="A115" s="73">
        <v>42894</v>
      </c>
      <c r="B115" t="s">
        <v>22</v>
      </c>
      <c r="C115" t="s">
        <v>12</v>
      </c>
      <c r="D115" t="s">
        <v>19</v>
      </c>
      <c r="E115" t="s">
        <v>14</v>
      </c>
      <c r="F115">
        <v>1</v>
      </c>
      <c r="G115">
        <v>13</v>
      </c>
      <c r="H115" t="s">
        <v>261</v>
      </c>
      <c r="I115" t="s">
        <v>258</v>
      </c>
    </row>
    <row r="116" spans="1:9">
      <c r="A116" s="73">
        <v>42896</v>
      </c>
      <c r="B116" t="s">
        <v>17</v>
      </c>
      <c r="C116" t="s">
        <v>12</v>
      </c>
      <c r="D116" t="s">
        <v>15</v>
      </c>
      <c r="E116" t="s">
        <v>18</v>
      </c>
      <c r="F116">
        <v>6</v>
      </c>
      <c r="G116">
        <v>72</v>
      </c>
      <c r="H116">
        <v>3.6</v>
      </c>
      <c r="I116" t="s">
        <v>257</v>
      </c>
    </row>
    <row r="117" spans="1:9">
      <c r="A117" s="73">
        <v>42900</v>
      </c>
      <c r="B117" t="s">
        <v>24</v>
      </c>
      <c r="C117" t="s">
        <v>21</v>
      </c>
      <c r="D117" t="s">
        <v>11</v>
      </c>
      <c r="E117" t="s">
        <v>14</v>
      </c>
      <c r="F117">
        <v>5</v>
      </c>
      <c r="G117">
        <v>55</v>
      </c>
      <c r="H117" t="s">
        <v>261</v>
      </c>
      <c r="I117" t="s">
        <v>255</v>
      </c>
    </row>
    <row r="118" spans="1:9">
      <c r="A118" s="73">
        <v>42903</v>
      </c>
      <c r="B118" t="s">
        <v>9</v>
      </c>
      <c r="C118" t="s">
        <v>23</v>
      </c>
      <c r="D118" t="s">
        <v>15</v>
      </c>
      <c r="E118" t="s">
        <v>18</v>
      </c>
      <c r="F118">
        <v>3</v>
      </c>
      <c r="G118">
        <v>36</v>
      </c>
      <c r="H118" t="s">
        <v>261</v>
      </c>
      <c r="I118" t="s">
        <v>259</v>
      </c>
    </row>
    <row r="119" spans="1:9">
      <c r="A119" s="73">
        <v>42904</v>
      </c>
      <c r="B119" t="s">
        <v>20</v>
      </c>
      <c r="C119" t="s">
        <v>16</v>
      </c>
      <c r="D119" t="s">
        <v>19</v>
      </c>
      <c r="E119" t="s">
        <v>10</v>
      </c>
      <c r="F119">
        <v>8</v>
      </c>
      <c r="G119">
        <v>104</v>
      </c>
      <c r="H119">
        <v>5.2</v>
      </c>
      <c r="I119" t="s">
        <v>256</v>
      </c>
    </row>
    <row r="120" spans="1:9">
      <c r="A120" s="73">
        <v>42907</v>
      </c>
      <c r="B120" t="s">
        <v>13</v>
      </c>
      <c r="C120" t="s">
        <v>23</v>
      </c>
      <c r="D120" t="s">
        <v>11</v>
      </c>
      <c r="E120" t="s">
        <v>18</v>
      </c>
      <c r="F120">
        <v>1</v>
      </c>
      <c r="G120">
        <v>11</v>
      </c>
      <c r="H120" t="s">
        <v>261</v>
      </c>
      <c r="I120" t="s">
        <v>260</v>
      </c>
    </row>
    <row r="121" spans="1:9">
      <c r="A121" s="73">
        <v>42908</v>
      </c>
      <c r="B121" t="s">
        <v>22</v>
      </c>
      <c r="C121" t="s">
        <v>21</v>
      </c>
      <c r="D121" t="s">
        <v>15</v>
      </c>
      <c r="E121" t="s">
        <v>14</v>
      </c>
      <c r="F121">
        <v>3</v>
      </c>
      <c r="G121">
        <v>36</v>
      </c>
      <c r="H121" t="s">
        <v>261</v>
      </c>
      <c r="I121" t="s">
        <v>258</v>
      </c>
    </row>
    <row r="122" spans="1:9">
      <c r="A122" s="73">
        <v>42911</v>
      </c>
      <c r="B122" t="s">
        <v>13</v>
      </c>
      <c r="C122" t="s">
        <v>16</v>
      </c>
      <c r="D122" t="s">
        <v>15</v>
      </c>
      <c r="E122" t="s">
        <v>10</v>
      </c>
      <c r="F122">
        <v>4</v>
      </c>
      <c r="G122">
        <v>48</v>
      </c>
      <c r="H122" t="s">
        <v>261</v>
      </c>
      <c r="I122" t="s">
        <v>260</v>
      </c>
    </row>
    <row r="123" spans="1:9">
      <c r="A123" s="73">
        <v>42915</v>
      </c>
      <c r="B123" t="s">
        <v>17</v>
      </c>
      <c r="C123" t="s">
        <v>23</v>
      </c>
      <c r="D123" t="s">
        <v>19</v>
      </c>
      <c r="E123" t="s">
        <v>14</v>
      </c>
      <c r="F123">
        <v>8</v>
      </c>
      <c r="G123">
        <v>104</v>
      </c>
      <c r="H123">
        <v>5.2</v>
      </c>
      <c r="I123" t="s">
        <v>257</v>
      </c>
    </row>
    <row r="124" spans="1:9">
      <c r="A124" s="73">
        <v>42919</v>
      </c>
      <c r="B124" t="s">
        <v>20</v>
      </c>
      <c r="C124" t="s">
        <v>21</v>
      </c>
      <c r="D124" t="s">
        <v>11</v>
      </c>
      <c r="E124" t="s">
        <v>18</v>
      </c>
      <c r="F124">
        <v>7</v>
      </c>
      <c r="G124">
        <v>77</v>
      </c>
      <c r="H124">
        <v>3.85</v>
      </c>
      <c r="I124" t="s">
        <v>256</v>
      </c>
    </row>
    <row r="125" spans="1:9">
      <c r="A125" s="73">
        <v>42923</v>
      </c>
      <c r="B125" t="s">
        <v>24</v>
      </c>
      <c r="C125" t="s">
        <v>12</v>
      </c>
      <c r="D125" t="s">
        <v>11</v>
      </c>
      <c r="E125" t="s">
        <v>18</v>
      </c>
      <c r="F125">
        <v>5</v>
      </c>
      <c r="G125">
        <v>55</v>
      </c>
      <c r="H125" t="s">
        <v>261</v>
      </c>
      <c r="I125" t="s">
        <v>255</v>
      </c>
    </row>
    <row r="126" spans="1:9">
      <c r="A126" s="73">
        <v>42927</v>
      </c>
      <c r="B126" t="s">
        <v>9</v>
      </c>
      <c r="C126" t="s">
        <v>23</v>
      </c>
      <c r="D126" t="s">
        <v>15</v>
      </c>
      <c r="E126" t="s">
        <v>10</v>
      </c>
      <c r="F126">
        <v>2</v>
      </c>
      <c r="G126">
        <v>24</v>
      </c>
      <c r="H126" t="s">
        <v>261</v>
      </c>
      <c r="I126" t="s">
        <v>259</v>
      </c>
    </row>
    <row r="127" spans="1:9">
      <c r="A127" s="73">
        <v>42931</v>
      </c>
      <c r="B127" t="s">
        <v>13</v>
      </c>
      <c r="C127" t="s">
        <v>21</v>
      </c>
      <c r="D127" t="s">
        <v>11</v>
      </c>
      <c r="E127" t="s">
        <v>10</v>
      </c>
      <c r="F127">
        <v>5</v>
      </c>
      <c r="G127">
        <v>55</v>
      </c>
      <c r="H127" t="s">
        <v>261</v>
      </c>
      <c r="I127" t="s">
        <v>260</v>
      </c>
    </row>
    <row r="128" spans="1:9">
      <c r="A128" s="73">
        <v>42934</v>
      </c>
      <c r="B128" t="s">
        <v>9</v>
      </c>
      <c r="C128" t="s">
        <v>12</v>
      </c>
      <c r="D128" t="s">
        <v>19</v>
      </c>
      <c r="E128" t="s">
        <v>10</v>
      </c>
      <c r="F128">
        <v>7</v>
      </c>
      <c r="G128">
        <v>91</v>
      </c>
      <c r="H128">
        <v>4.55</v>
      </c>
      <c r="I128" t="s">
        <v>259</v>
      </c>
    </row>
    <row r="129" spans="1:9">
      <c r="A129" s="73">
        <v>42936</v>
      </c>
      <c r="B129" t="s">
        <v>17</v>
      </c>
      <c r="C129" t="s">
        <v>12</v>
      </c>
      <c r="D129" t="s">
        <v>19</v>
      </c>
      <c r="E129" t="s">
        <v>14</v>
      </c>
      <c r="F129">
        <v>1</v>
      </c>
      <c r="G129">
        <v>13</v>
      </c>
      <c r="H129" t="s">
        <v>261</v>
      </c>
      <c r="I129" t="s">
        <v>257</v>
      </c>
    </row>
    <row r="130" spans="1:9">
      <c r="A130" s="73">
        <v>42940</v>
      </c>
      <c r="B130" t="s">
        <v>20</v>
      </c>
      <c r="C130" t="s">
        <v>12</v>
      </c>
      <c r="D130" t="s">
        <v>11</v>
      </c>
      <c r="E130" t="s">
        <v>18</v>
      </c>
      <c r="F130">
        <v>7</v>
      </c>
      <c r="G130">
        <v>77</v>
      </c>
      <c r="H130">
        <v>3.85</v>
      </c>
      <c r="I130" t="s">
        <v>256</v>
      </c>
    </row>
    <row r="131" spans="1:9">
      <c r="A131" s="73">
        <v>42944</v>
      </c>
      <c r="B131" t="s">
        <v>13</v>
      </c>
      <c r="C131" t="s">
        <v>21</v>
      </c>
      <c r="D131" t="s">
        <v>15</v>
      </c>
      <c r="E131" t="s">
        <v>18</v>
      </c>
      <c r="F131">
        <v>4</v>
      </c>
      <c r="G131">
        <v>48</v>
      </c>
      <c r="H131" t="s">
        <v>261</v>
      </c>
      <c r="I131" t="s">
        <v>260</v>
      </c>
    </row>
    <row r="132" spans="1:9">
      <c r="A132" s="73">
        <v>42946</v>
      </c>
      <c r="B132" t="s">
        <v>9</v>
      </c>
      <c r="C132" t="s">
        <v>16</v>
      </c>
      <c r="D132" t="s">
        <v>11</v>
      </c>
      <c r="E132" t="s">
        <v>10</v>
      </c>
      <c r="F132">
        <v>6</v>
      </c>
      <c r="G132">
        <v>66</v>
      </c>
      <c r="H132" t="s">
        <v>261</v>
      </c>
      <c r="I132" t="s">
        <v>259</v>
      </c>
    </row>
    <row r="133" spans="1:9">
      <c r="A133" s="73">
        <v>42950</v>
      </c>
      <c r="B133" t="s">
        <v>13</v>
      </c>
      <c r="C133" t="s">
        <v>12</v>
      </c>
      <c r="D133" t="s">
        <v>15</v>
      </c>
      <c r="E133" t="s">
        <v>14</v>
      </c>
      <c r="F133">
        <v>2</v>
      </c>
      <c r="G133">
        <v>24</v>
      </c>
      <c r="H133" t="s">
        <v>261</v>
      </c>
      <c r="I133" t="s">
        <v>260</v>
      </c>
    </row>
    <row r="134" spans="1:9">
      <c r="A134" s="73">
        <v>42952</v>
      </c>
      <c r="B134" t="s">
        <v>13</v>
      </c>
      <c r="C134" t="s">
        <v>23</v>
      </c>
      <c r="D134" t="s">
        <v>15</v>
      </c>
      <c r="E134" t="s">
        <v>10</v>
      </c>
      <c r="F134">
        <v>6</v>
      </c>
      <c r="G134">
        <v>72</v>
      </c>
      <c r="H134">
        <v>3.6</v>
      </c>
      <c r="I134" t="s">
        <v>260</v>
      </c>
    </row>
    <row r="135" spans="1:9">
      <c r="A135" s="73">
        <v>42956</v>
      </c>
      <c r="B135" t="s">
        <v>17</v>
      </c>
      <c r="C135" t="s">
        <v>12</v>
      </c>
      <c r="D135" t="s">
        <v>11</v>
      </c>
      <c r="E135" t="s">
        <v>18</v>
      </c>
      <c r="F135">
        <v>8</v>
      </c>
      <c r="G135">
        <v>88</v>
      </c>
      <c r="H135">
        <v>4.4000000000000004</v>
      </c>
      <c r="I135" t="s">
        <v>257</v>
      </c>
    </row>
    <row r="136" spans="1:9">
      <c r="A136" s="73">
        <v>42958</v>
      </c>
      <c r="B136" t="s">
        <v>9</v>
      </c>
      <c r="C136" t="s">
        <v>12</v>
      </c>
      <c r="D136" t="s">
        <v>11</v>
      </c>
      <c r="E136" t="s">
        <v>10</v>
      </c>
      <c r="F136">
        <v>7</v>
      </c>
      <c r="G136">
        <v>77</v>
      </c>
      <c r="H136">
        <v>3.85</v>
      </c>
      <c r="I136" t="s">
        <v>259</v>
      </c>
    </row>
    <row r="137" spans="1:9">
      <c r="A137" s="73">
        <v>42961</v>
      </c>
      <c r="B137" t="s">
        <v>9</v>
      </c>
      <c r="C137" t="s">
        <v>16</v>
      </c>
      <c r="D137" t="s">
        <v>15</v>
      </c>
      <c r="E137" t="s">
        <v>14</v>
      </c>
      <c r="F137">
        <v>2</v>
      </c>
      <c r="G137">
        <v>24</v>
      </c>
      <c r="H137" t="s">
        <v>261</v>
      </c>
      <c r="I137" t="s">
        <v>259</v>
      </c>
    </row>
    <row r="138" spans="1:9">
      <c r="A138" s="73">
        <v>42964</v>
      </c>
      <c r="B138" t="s">
        <v>13</v>
      </c>
      <c r="C138" t="s">
        <v>23</v>
      </c>
      <c r="D138" t="s">
        <v>19</v>
      </c>
      <c r="E138" t="s">
        <v>18</v>
      </c>
      <c r="F138">
        <v>8</v>
      </c>
      <c r="G138">
        <v>104</v>
      </c>
      <c r="H138">
        <v>5.2</v>
      </c>
      <c r="I138" t="s">
        <v>260</v>
      </c>
    </row>
    <row r="139" spans="1:9">
      <c r="A139" s="73">
        <v>42967</v>
      </c>
      <c r="B139" t="s">
        <v>24</v>
      </c>
      <c r="C139" t="s">
        <v>12</v>
      </c>
      <c r="D139" t="s">
        <v>19</v>
      </c>
      <c r="E139" t="s">
        <v>18</v>
      </c>
      <c r="F139">
        <v>6</v>
      </c>
      <c r="G139">
        <v>78</v>
      </c>
      <c r="H139">
        <v>3.9</v>
      </c>
      <c r="I139" t="s">
        <v>255</v>
      </c>
    </row>
    <row r="140" spans="1:9">
      <c r="A140" s="73">
        <v>42971</v>
      </c>
      <c r="B140" t="s">
        <v>22</v>
      </c>
      <c r="C140" t="s">
        <v>16</v>
      </c>
      <c r="D140" t="s">
        <v>11</v>
      </c>
      <c r="E140" t="s">
        <v>14</v>
      </c>
      <c r="F140">
        <v>6</v>
      </c>
      <c r="G140">
        <v>66</v>
      </c>
      <c r="H140" t="s">
        <v>261</v>
      </c>
      <c r="I140" t="s">
        <v>258</v>
      </c>
    </row>
    <row r="141" spans="1:9">
      <c r="A141" s="73">
        <v>42974</v>
      </c>
      <c r="B141" t="s">
        <v>17</v>
      </c>
      <c r="C141" t="s">
        <v>12</v>
      </c>
      <c r="D141" t="s">
        <v>15</v>
      </c>
      <c r="E141" t="s">
        <v>14</v>
      </c>
      <c r="F141">
        <v>3</v>
      </c>
      <c r="G141">
        <v>36</v>
      </c>
      <c r="H141" t="s">
        <v>261</v>
      </c>
      <c r="I141" t="s">
        <v>257</v>
      </c>
    </row>
    <row r="142" spans="1:9">
      <c r="A142" s="73">
        <v>42976</v>
      </c>
      <c r="B142" t="s">
        <v>13</v>
      </c>
      <c r="C142" t="s">
        <v>21</v>
      </c>
      <c r="D142" t="s">
        <v>11</v>
      </c>
      <c r="E142" t="s">
        <v>10</v>
      </c>
      <c r="F142">
        <v>4</v>
      </c>
      <c r="G142">
        <v>44</v>
      </c>
      <c r="H142" t="s">
        <v>261</v>
      </c>
      <c r="I142" t="s">
        <v>260</v>
      </c>
    </row>
    <row r="143" spans="1:9">
      <c r="A143" s="73">
        <v>42978</v>
      </c>
      <c r="B143" t="s">
        <v>13</v>
      </c>
      <c r="C143" t="s">
        <v>16</v>
      </c>
      <c r="D143" t="s">
        <v>11</v>
      </c>
      <c r="E143" t="s">
        <v>14</v>
      </c>
      <c r="F143">
        <v>1</v>
      </c>
      <c r="G143">
        <v>11</v>
      </c>
      <c r="H143" t="s">
        <v>261</v>
      </c>
      <c r="I143" t="s">
        <v>260</v>
      </c>
    </row>
    <row r="144" spans="1:9">
      <c r="A144" s="73">
        <v>42980</v>
      </c>
      <c r="B144" t="s">
        <v>22</v>
      </c>
      <c r="C144" t="s">
        <v>16</v>
      </c>
      <c r="D144" t="s">
        <v>11</v>
      </c>
      <c r="E144" t="s">
        <v>14</v>
      </c>
      <c r="F144">
        <v>1</v>
      </c>
      <c r="G144">
        <v>11</v>
      </c>
      <c r="H144" t="s">
        <v>261</v>
      </c>
      <c r="I144" t="s">
        <v>258</v>
      </c>
    </row>
    <row r="145" spans="1:9">
      <c r="A145" s="73">
        <v>42984</v>
      </c>
      <c r="B145" t="s">
        <v>20</v>
      </c>
      <c r="C145" t="s">
        <v>23</v>
      </c>
      <c r="D145" t="s">
        <v>19</v>
      </c>
      <c r="E145" t="s">
        <v>14</v>
      </c>
      <c r="F145">
        <v>6</v>
      </c>
      <c r="G145">
        <v>78</v>
      </c>
      <c r="H145">
        <v>3.9</v>
      </c>
      <c r="I145" t="s">
        <v>256</v>
      </c>
    </row>
    <row r="146" spans="1:9">
      <c r="A146" s="73">
        <v>42988</v>
      </c>
      <c r="B146" t="s">
        <v>20</v>
      </c>
      <c r="C146" t="s">
        <v>23</v>
      </c>
      <c r="D146" t="s">
        <v>11</v>
      </c>
      <c r="E146" t="s">
        <v>18</v>
      </c>
      <c r="F146">
        <v>3</v>
      </c>
      <c r="G146">
        <v>33</v>
      </c>
      <c r="H146" t="s">
        <v>261</v>
      </c>
      <c r="I146" t="s">
        <v>256</v>
      </c>
    </row>
    <row r="147" spans="1:9">
      <c r="A147" s="73">
        <v>42990</v>
      </c>
      <c r="B147" t="s">
        <v>24</v>
      </c>
      <c r="C147" t="s">
        <v>16</v>
      </c>
      <c r="D147" t="s">
        <v>15</v>
      </c>
      <c r="E147" t="s">
        <v>10</v>
      </c>
      <c r="F147">
        <v>4</v>
      </c>
      <c r="G147">
        <v>48</v>
      </c>
      <c r="H147" t="s">
        <v>261</v>
      </c>
      <c r="I147" t="s">
        <v>255</v>
      </c>
    </row>
    <row r="148" spans="1:9">
      <c r="A148" s="73">
        <v>42994</v>
      </c>
      <c r="B148" t="s">
        <v>22</v>
      </c>
      <c r="C148" t="s">
        <v>16</v>
      </c>
      <c r="D148" t="s">
        <v>15</v>
      </c>
      <c r="E148" t="s">
        <v>10</v>
      </c>
      <c r="F148">
        <v>4</v>
      </c>
      <c r="G148">
        <v>48</v>
      </c>
      <c r="H148" t="s">
        <v>261</v>
      </c>
      <c r="I148" t="s">
        <v>258</v>
      </c>
    </row>
    <row r="149" spans="1:9">
      <c r="A149" s="73">
        <v>42996</v>
      </c>
      <c r="B149" t="s">
        <v>24</v>
      </c>
      <c r="C149" t="s">
        <v>12</v>
      </c>
      <c r="D149" t="s">
        <v>19</v>
      </c>
      <c r="E149" t="s">
        <v>18</v>
      </c>
      <c r="F149">
        <v>7</v>
      </c>
      <c r="G149">
        <v>91</v>
      </c>
      <c r="H149">
        <v>4.55</v>
      </c>
      <c r="I149" t="s">
        <v>255</v>
      </c>
    </row>
    <row r="150" spans="1:9">
      <c r="A150" s="73">
        <v>43000</v>
      </c>
      <c r="B150" t="s">
        <v>17</v>
      </c>
      <c r="C150" t="s">
        <v>23</v>
      </c>
      <c r="D150" t="s">
        <v>11</v>
      </c>
      <c r="E150" t="s">
        <v>10</v>
      </c>
      <c r="F150">
        <v>4</v>
      </c>
      <c r="G150">
        <v>44</v>
      </c>
      <c r="H150" t="s">
        <v>261</v>
      </c>
      <c r="I150" t="s">
        <v>257</v>
      </c>
    </row>
    <row r="151" spans="1:9">
      <c r="A151" s="73">
        <v>43003</v>
      </c>
      <c r="B151" t="s">
        <v>22</v>
      </c>
      <c r="C151" t="s">
        <v>21</v>
      </c>
      <c r="D151" t="s">
        <v>19</v>
      </c>
      <c r="E151" t="s">
        <v>14</v>
      </c>
      <c r="F151">
        <v>2</v>
      </c>
      <c r="G151">
        <v>26</v>
      </c>
      <c r="H151" t="s">
        <v>261</v>
      </c>
      <c r="I151" t="s">
        <v>258</v>
      </c>
    </row>
    <row r="152" spans="1:9">
      <c r="A152" s="73">
        <v>43007</v>
      </c>
      <c r="B152" t="s">
        <v>13</v>
      </c>
      <c r="C152" t="s">
        <v>16</v>
      </c>
      <c r="D152" t="s">
        <v>11</v>
      </c>
      <c r="E152" t="s">
        <v>10</v>
      </c>
      <c r="F152">
        <v>8</v>
      </c>
      <c r="G152">
        <v>88</v>
      </c>
      <c r="H152">
        <v>4.4000000000000004</v>
      </c>
      <c r="I152" t="s">
        <v>260</v>
      </c>
    </row>
    <row r="153" spans="1:9">
      <c r="A153" s="73">
        <v>43010</v>
      </c>
      <c r="B153" t="s">
        <v>13</v>
      </c>
      <c r="C153" t="s">
        <v>21</v>
      </c>
      <c r="D153" t="s">
        <v>11</v>
      </c>
      <c r="E153" t="s">
        <v>14</v>
      </c>
      <c r="F153">
        <v>3</v>
      </c>
      <c r="G153">
        <v>33</v>
      </c>
      <c r="H153" t="s">
        <v>261</v>
      </c>
      <c r="I153" t="s">
        <v>260</v>
      </c>
    </row>
    <row r="154" spans="1:9">
      <c r="A154" s="73">
        <v>43012</v>
      </c>
      <c r="B154" t="s">
        <v>9</v>
      </c>
      <c r="C154" t="s">
        <v>21</v>
      </c>
      <c r="D154" t="s">
        <v>19</v>
      </c>
      <c r="E154" t="s">
        <v>10</v>
      </c>
      <c r="F154">
        <v>5</v>
      </c>
      <c r="G154">
        <v>65</v>
      </c>
      <c r="H154" t="s">
        <v>261</v>
      </c>
      <c r="I154" t="s">
        <v>259</v>
      </c>
    </row>
    <row r="155" spans="1:9">
      <c r="A155" s="73">
        <v>43014</v>
      </c>
      <c r="B155" t="s">
        <v>24</v>
      </c>
      <c r="C155" t="s">
        <v>21</v>
      </c>
      <c r="D155" t="s">
        <v>15</v>
      </c>
      <c r="E155" t="s">
        <v>10</v>
      </c>
      <c r="F155">
        <v>1</v>
      </c>
      <c r="G155">
        <v>12</v>
      </c>
      <c r="H155" t="s">
        <v>261</v>
      </c>
      <c r="I155" t="s">
        <v>255</v>
      </c>
    </row>
    <row r="156" spans="1:9">
      <c r="A156" s="73">
        <v>43018</v>
      </c>
      <c r="B156" t="s">
        <v>13</v>
      </c>
      <c r="C156" t="s">
        <v>12</v>
      </c>
      <c r="D156" t="s">
        <v>19</v>
      </c>
      <c r="E156" t="s">
        <v>18</v>
      </c>
      <c r="F156">
        <v>4</v>
      </c>
      <c r="G156">
        <v>52</v>
      </c>
      <c r="H156" t="s">
        <v>261</v>
      </c>
      <c r="I156" t="s">
        <v>260</v>
      </c>
    </row>
    <row r="157" spans="1:9">
      <c r="A157" s="73">
        <v>43020</v>
      </c>
      <c r="B157" t="s">
        <v>9</v>
      </c>
      <c r="C157" t="s">
        <v>23</v>
      </c>
      <c r="D157" t="s">
        <v>11</v>
      </c>
      <c r="E157" t="s">
        <v>18</v>
      </c>
      <c r="F157">
        <v>5</v>
      </c>
      <c r="G157">
        <v>55</v>
      </c>
      <c r="H157" t="s">
        <v>261</v>
      </c>
      <c r="I157" t="s">
        <v>259</v>
      </c>
    </row>
    <row r="158" spans="1:9">
      <c r="A158" s="73">
        <v>43022</v>
      </c>
      <c r="B158" t="s">
        <v>17</v>
      </c>
      <c r="C158" t="s">
        <v>12</v>
      </c>
      <c r="D158" t="s">
        <v>19</v>
      </c>
      <c r="E158" t="s">
        <v>18</v>
      </c>
      <c r="F158">
        <v>4</v>
      </c>
      <c r="G158">
        <v>52</v>
      </c>
      <c r="H158" t="s">
        <v>261</v>
      </c>
      <c r="I158" t="s">
        <v>257</v>
      </c>
    </row>
    <row r="159" spans="1:9">
      <c r="A159" s="73">
        <v>43025</v>
      </c>
      <c r="B159" t="s">
        <v>13</v>
      </c>
      <c r="C159" t="s">
        <v>12</v>
      </c>
      <c r="D159" t="s">
        <v>11</v>
      </c>
      <c r="E159" t="s">
        <v>14</v>
      </c>
      <c r="F159">
        <v>6</v>
      </c>
      <c r="G159">
        <v>66</v>
      </c>
      <c r="H159" t="s">
        <v>261</v>
      </c>
      <c r="I159" t="s">
        <v>260</v>
      </c>
    </row>
    <row r="160" spans="1:9">
      <c r="A160" s="73">
        <v>43026</v>
      </c>
      <c r="B160" t="s">
        <v>24</v>
      </c>
      <c r="C160" t="s">
        <v>16</v>
      </c>
      <c r="D160" t="s">
        <v>19</v>
      </c>
      <c r="E160" t="s">
        <v>10</v>
      </c>
      <c r="F160">
        <v>3</v>
      </c>
      <c r="G160">
        <v>39</v>
      </c>
      <c r="H160" t="s">
        <v>261</v>
      </c>
      <c r="I160" t="s">
        <v>255</v>
      </c>
    </row>
    <row r="161" spans="1:9">
      <c r="A161" s="73">
        <v>43030</v>
      </c>
      <c r="B161" t="s">
        <v>9</v>
      </c>
      <c r="C161" t="s">
        <v>16</v>
      </c>
      <c r="D161" t="s">
        <v>15</v>
      </c>
      <c r="E161" t="s">
        <v>10</v>
      </c>
      <c r="F161">
        <v>6</v>
      </c>
      <c r="G161">
        <v>72</v>
      </c>
      <c r="H161">
        <v>3.6</v>
      </c>
      <c r="I161" t="s">
        <v>259</v>
      </c>
    </row>
    <row r="162" spans="1:9">
      <c r="A162" s="73">
        <v>43034</v>
      </c>
      <c r="B162" t="s">
        <v>13</v>
      </c>
      <c r="C162" t="s">
        <v>12</v>
      </c>
      <c r="D162" t="s">
        <v>19</v>
      </c>
      <c r="E162" t="s">
        <v>14</v>
      </c>
      <c r="F162">
        <v>1</v>
      </c>
      <c r="G162">
        <v>13</v>
      </c>
      <c r="H162" t="s">
        <v>261</v>
      </c>
      <c r="I162" t="s">
        <v>260</v>
      </c>
    </row>
    <row r="163" spans="1:9">
      <c r="A163" s="73">
        <v>43035</v>
      </c>
      <c r="B163" t="s">
        <v>13</v>
      </c>
      <c r="C163" t="s">
        <v>16</v>
      </c>
      <c r="D163" t="s">
        <v>11</v>
      </c>
      <c r="E163" t="s">
        <v>18</v>
      </c>
      <c r="F163">
        <v>1</v>
      </c>
      <c r="G163">
        <v>11</v>
      </c>
      <c r="H163" t="s">
        <v>261</v>
      </c>
      <c r="I163" t="s">
        <v>260</v>
      </c>
    </row>
    <row r="164" spans="1:9">
      <c r="A164" s="73">
        <v>43036</v>
      </c>
      <c r="B164" t="s">
        <v>9</v>
      </c>
      <c r="C164" t="s">
        <v>12</v>
      </c>
      <c r="D164" t="s">
        <v>11</v>
      </c>
      <c r="E164" t="s">
        <v>10</v>
      </c>
      <c r="F164">
        <v>7</v>
      </c>
      <c r="G164">
        <v>77</v>
      </c>
      <c r="H164">
        <v>3.85</v>
      </c>
      <c r="I164" t="s">
        <v>259</v>
      </c>
    </row>
    <row r="165" spans="1:9">
      <c r="A165" s="73">
        <v>43038</v>
      </c>
      <c r="B165" t="s">
        <v>17</v>
      </c>
      <c r="C165" t="s">
        <v>12</v>
      </c>
      <c r="D165" t="s">
        <v>15</v>
      </c>
      <c r="E165" t="s">
        <v>14</v>
      </c>
      <c r="F165">
        <v>5</v>
      </c>
      <c r="G165">
        <v>60</v>
      </c>
      <c r="H165" t="s">
        <v>261</v>
      </c>
      <c r="I165" t="s">
        <v>257</v>
      </c>
    </row>
    <row r="166" spans="1:9">
      <c r="A166" s="73">
        <v>43039</v>
      </c>
      <c r="B166" t="s">
        <v>22</v>
      </c>
      <c r="C166" t="s">
        <v>16</v>
      </c>
      <c r="D166" t="s">
        <v>11</v>
      </c>
      <c r="E166" t="s">
        <v>18</v>
      </c>
      <c r="F166">
        <v>4</v>
      </c>
      <c r="G166">
        <v>44</v>
      </c>
      <c r="H166" t="s">
        <v>261</v>
      </c>
      <c r="I166" t="s">
        <v>258</v>
      </c>
    </row>
    <row r="167" spans="1:9">
      <c r="A167" s="73">
        <v>43042</v>
      </c>
      <c r="B167" t="s">
        <v>24</v>
      </c>
      <c r="C167" t="s">
        <v>23</v>
      </c>
      <c r="D167" t="s">
        <v>19</v>
      </c>
      <c r="E167" t="s">
        <v>14</v>
      </c>
      <c r="F167">
        <v>6</v>
      </c>
      <c r="G167">
        <v>78</v>
      </c>
      <c r="H167">
        <v>3.9</v>
      </c>
      <c r="I167" t="s">
        <v>255</v>
      </c>
    </row>
    <row r="168" spans="1:9">
      <c r="A168" s="73">
        <v>43046</v>
      </c>
      <c r="B168" t="s">
        <v>22</v>
      </c>
      <c r="C168" t="s">
        <v>16</v>
      </c>
      <c r="D168" t="s">
        <v>19</v>
      </c>
      <c r="E168" t="s">
        <v>18</v>
      </c>
      <c r="F168">
        <v>1</v>
      </c>
      <c r="G168">
        <v>13</v>
      </c>
      <c r="H168" t="s">
        <v>261</v>
      </c>
      <c r="I168" t="s">
        <v>258</v>
      </c>
    </row>
    <row r="169" spans="1:9">
      <c r="A169" s="73">
        <v>43050</v>
      </c>
      <c r="B169" t="s">
        <v>13</v>
      </c>
      <c r="C169" t="s">
        <v>21</v>
      </c>
      <c r="D169" t="s">
        <v>19</v>
      </c>
      <c r="E169" t="s">
        <v>10</v>
      </c>
      <c r="F169">
        <v>7</v>
      </c>
      <c r="G169">
        <v>91</v>
      </c>
      <c r="H169">
        <v>4.55</v>
      </c>
      <c r="I169" t="s">
        <v>260</v>
      </c>
    </row>
    <row r="170" spans="1:9">
      <c r="A170" s="73">
        <v>43052</v>
      </c>
      <c r="B170" t="s">
        <v>13</v>
      </c>
      <c r="C170" t="s">
        <v>21</v>
      </c>
      <c r="D170" t="s">
        <v>15</v>
      </c>
      <c r="E170" t="s">
        <v>10</v>
      </c>
      <c r="F170">
        <v>3</v>
      </c>
      <c r="G170">
        <v>36</v>
      </c>
      <c r="H170" t="s">
        <v>261</v>
      </c>
      <c r="I170" t="s">
        <v>260</v>
      </c>
    </row>
    <row r="171" spans="1:9">
      <c r="A171" s="73">
        <v>43056</v>
      </c>
      <c r="B171" t="s">
        <v>17</v>
      </c>
      <c r="C171" t="s">
        <v>12</v>
      </c>
      <c r="D171" t="s">
        <v>15</v>
      </c>
      <c r="E171" t="s">
        <v>14</v>
      </c>
      <c r="F171">
        <v>2</v>
      </c>
      <c r="G171">
        <v>24</v>
      </c>
      <c r="H171" t="s">
        <v>261</v>
      </c>
      <c r="I171" t="s">
        <v>257</v>
      </c>
    </row>
    <row r="172" spans="1:9">
      <c r="A172" s="73">
        <v>43058</v>
      </c>
      <c r="B172" t="s">
        <v>13</v>
      </c>
      <c r="C172" t="s">
        <v>12</v>
      </c>
      <c r="D172" t="s">
        <v>19</v>
      </c>
      <c r="E172" t="s">
        <v>18</v>
      </c>
      <c r="F172">
        <v>8</v>
      </c>
      <c r="G172">
        <v>104</v>
      </c>
      <c r="H172">
        <v>5.2</v>
      </c>
      <c r="I172" t="s">
        <v>260</v>
      </c>
    </row>
    <row r="173" spans="1:9">
      <c r="A173" s="73">
        <v>43062</v>
      </c>
      <c r="B173" t="s">
        <v>20</v>
      </c>
      <c r="C173" t="s">
        <v>21</v>
      </c>
      <c r="D173" t="s">
        <v>15</v>
      </c>
      <c r="E173" t="s">
        <v>18</v>
      </c>
      <c r="F173">
        <v>6</v>
      </c>
      <c r="G173">
        <v>72</v>
      </c>
      <c r="H173">
        <v>3.6</v>
      </c>
      <c r="I173" t="s">
        <v>256</v>
      </c>
    </row>
    <row r="174" spans="1:9">
      <c r="A174" s="73">
        <v>43066</v>
      </c>
      <c r="B174" t="s">
        <v>24</v>
      </c>
      <c r="C174" t="s">
        <v>12</v>
      </c>
      <c r="D174" t="s">
        <v>11</v>
      </c>
      <c r="E174" t="s">
        <v>18</v>
      </c>
      <c r="F174">
        <v>5</v>
      </c>
      <c r="G174">
        <v>55</v>
      </c>
      <c r="H174" t="s">
        <v>261</v>
      </c>
      <c r="I174" t="s">
        <v>255</v>
      </c>
    </row>
    <row r="175" spans="1:9">
      <c r="A175" s="73">
        <v>43067</v>
      </c>
      <c r="B175" t="s">
        <v>17</v>
      </c>
      <c r="C175" t="s">
        <v>12</v>
      </c>
      <c r="D175" t="s">
        <v>15</v>
      </c>
      <c r="E175" t="s">
        <v>18</v>
      </c>
      <c r="F175">
        <v>4</v>
      </c>
      <c r="G175">
        <v>48</v>
      </c>
      <c r="H175" t="s">
        <v>261</v>
      </c>
      <c r="I175" t="s">
        <v>257</v>
      </c>
    </row>
    <row r="176" spans="1:9">
      <c r="A176" s="73">
        <v>43069</v>
      </c>
      <c r="B176" t="s">
        <v>9</v>
      </c>
      <c r="C176" t="s">
        <v>12</v>
      </c>
      <c r="D176" t="s">
        <v>11</v>
      </c>
      <c r="E176" t="s">
        <v>14</v>
      </c>
      <c r="F176">
        <v>8</v>
      </c>
      <c r="G176">
        <v>88</v>
      </c>
      <c r="H176">
        <v>4.4000000000000004</v>
      </c>
      <c r="I176" t="s">
        <v>259</v>
      </c>
    </row>
    <row r="177" spans="1:9">
      <c r="A177" s="73">
        <v>43070</v>
      </c>
      <c r="B177" t="s">
        <v>9</v>
      </c>
      <c r="C177" t="s">
        <v>23</v>
      </c>
      <c r="D177" t="s">
        <v>15</v>
      </c>
      <c r="E177" t="s">
        <v>10</v>
      </c>
      <c r="F177">
        <v>8</v>
      </c>
      <c r="G177">
        <v>96</v>
      </c>
      <c r="H177">
        <v>4.8</v>
      </c>
      <c r="I177" t="s">
        <v>259</v>
      </c>
    </row>
    <row r="178" spans="1:9">
      <c r="A178" s="73">
        <v>43072</v>
      </c>
      <c r="B178" t="s">
        <v>9</v>
      </c>
      <c r="C178" t="s">
        <v>12</v>
      </c>
      <c r="D178" t="s">
        <v>19</v>
      </c>
      <c r="E178" t="s">
        <v>14</v>
      </c>
      <c r="F178">
        <v>5</v>
      </c>
      <c r="G178">
        <v>65</v>
      </c>
      <c r="H178" t="s">
        <v>261</v>
      </c>
      <c r="I178" t="s">
        <v>259</v>
      </c>
    </row>
    <row r="179" spans="1:9">
      <c r="A179" s="73">
        <v>43074</v>
      </c>
      <c r="B179" t="s">
        <v>13</v>
      </c>
      <c r="C179" t="s">
        <v>21</v>
      </c>
      <c r="D179" t="s">
        <v>15</v>
      </c>
      <c r="E179" t="s">
        <v>10</v>
      </c>
      <c r="F179">
        <v>3</v>
      </c>
      <c r="G179">
        <v>36</v>
      </c>
      <c r="H179" t="s">
        <v>261</v>
      </c>
      <c r="I179" t="s">
        <v>260</v>
      </c>
    </row>
    <row r="180" spans="1:9">
      <c r="A180" s="73">
        <v>43075</v>
      </c>
      <c r="B180" t="s">
        <v>24</v>
      </c>
      <c r="C180" t="s">
        <v>12</v>
      </c>
      <c r="D180" t="s">
        <v>15</v>
      </c>
      <c r="E180" t="s">
        <v>10</v>
      </c>
      <c r="F180">
        <v>4</v>
      </c>
      <c r="G180">
        <v>48</v>
      </c>
      <c r="H180" t="s">
        <v>261</v>
      </c>
      <c r="I180" t="s">
        <v>255</v>
      </c>
    </row>
    <row r="181" spans="1:9">
      <c r="A181" s="73">
        <v>43077</v>
      </c>
      <c r="B181" t="s">
        <v>17</v>
      </c>
      <c r="C181" t="s">
        <v>12</v>
      </c>
      <c r="D181" t="s">
        <v>15</v>
      </c>
      <c r="E181" t="s">
        <v>10</v>
      </c>
      <c r="F181">
        <v>5</v>
      </c>
      <c r="G181">
        <v>60</v>
      </c>
      <c r="H181" t="s">
        <v>261</v>
      </c>
      <c r="I181" t="s">
        <v>257</v>
      </c>
    </row>
    <row r="182" spans="1:9">
      <c r="A182" s="73">
        <v>43079</v>
      </c>
      <c r="B182" t="s">
        <v>22</v>
      </c>
      <c r="C182" t="s">
        <v>12</v>
      </c>
      <c r="D182" t="s">
        <v>19</v>
      </c>
      <c r="E182" t="s">
        <v>18</v>
      </c>
      <c r="F182">
        <v>1</v>
      </c>
      <c r="G182">
        <v>13</v>
      </c>
      <c r="H182" t="s">
        <v>261</v>
      </c>
      <c r="I182" t="s">
        <v>258</v>
      </c>
    </row>
    <row r="183" spans="1:9">
      <c r="A183" s="73">
        <v>43081</v>
      </c>
      <c r="B183" t="s">
        <v>13</v>
      </c>
      <c r="C183" t="s">
        <v>21</v>
      </c>
      <c r="D183" t="s">
        <v>11</v>
      </c>
      <c r="E183" t="s">
        <v>10</v>
      </c>
      <c r="F183">
        <v>4</v>
      </c>
      <c r="G183">
        <v>44</v>
      </c>
      <c r="H183" t="s">
        <v>261</v>
      </c>
      <c r="I183" t="s">
        <v>260</v>
      </c>
    </row>
    <row r="184" spans="1:9">
      <c r="A184" s="73">
        <v>43082</v>
      </c>
      <c r="B184" t="s">
        <v>9</v>
      </c>
      <c r="C184" t="s">
        <v>21</v>
      </c>
      <c r="D184" t="s">
        <v>19</v>
      </c>
      <c r="E184" t="s">
        <v>14</v>
      </c>
      <c r="F184">
        <v>5</v>
      </c>
      <c r="G184">
        <v>65</v>
      </c>
      <c r="H184" t="s">
        <v>261</v>
      </c>
      <c r="I184" t="s">
        <v>259</v>
      </c>
    </row>
    <row r="185" spans="1:9">
      <c r="A185" s="73">
        <v>43083</v>
      </c>
      <c r="B185" t="s">
        <v>24</v>
      </c>
      <c r="C185" t="s">
        <v>21</v>
      </c>
      <c r="D185" t="s">
        <v>15</v>
      </c>
      <c r="E185" t="s">
        <v>10</v>
      </c>
      <c r="F185">
        <v>5</v>
      </c>
      <c r="G185">
        <v>60</v>
      </c>
      <c r="H185" t="s">
        <v>261</v>
      </c>
      <c r="I185" t="s">
        <v>255</v>
      </c>
    </row>
    <row r="186" spans="1:9">
      <c r="A186" s="73">
        <v>43085</v>
      </c>
      <c r="B186" t="s">
        <v>13</v>
      </c>
      <c r="C186" t="s">
        <v>12</v>
      </c>
      <c r="D186" t="s">
        <v>15</v>
      </c>
      <c r="E186" t="s">
        <v>10</v>
      </c>
      <c r="F186">
        <v>1</v>
      </c>
      <c r="G186">
        <v>12</v>
      </c>
      <c r="H186" t="s">
        <v>261</v>
      </c>
      <c r="I186" t="s">
        <v>260</v>
      </c>
    </row>
    <row r="187" spans="1:9">
      <c r="A187" s="73">
        <v>43086</v>
      </c>
      <c r="B187" t="s">
        <v>22</v>
      </c>
      <c r="C187" t="s">
        <v>21</v>
      </c>
      <c r="D187" t="s">
        <v>15</v>
      </c>
      <c r="E187" t="s">
        <v>18</v>
      </c>
      <c r="F187">
        <v>6</v>
      </c>
      <c r="G187">
        <v>72</v>
      </c>
      <c r="H187">
        <v>3.6</v>
      </c>
      <c r="I187" t="s">
        <v>258</v>
      </c>
    </row>
    <row r="188" spans="1:9">
      <c r="A188" s="73">
        <v>43088</v>
      </c>
      <c r="B188" t="s">
        <v>9</v>
      </c>
      <c r="C188" t="s">
        <v>21</v>
      </c>
      <c r="D188" t="s">
        <v>19</v>
      </c>
      <c r="E188" t="s">
        <v>10</v>
      </c>
      <c r="F188">
        <v>2</v>
      </c>
      <c r="G188">
        <v>26</v>
      </c>
      <c r="H188" t="s">
        <v>261</v>
      </c>
      <c r="I188" t="s">
        <v>259</v>
      </c>
    </row>
    <row r="189" spans="1:9">
      <c r="A189" s="73">
        <v>43092</v>
      </c>
      <c r="B189" t="s">
        <v>17</v>
      </c>
      <c r="C189" t="s">
        <v>21</v>
      </c>
      <c r="D189" t="s">
        <v>15</v>
      </c>
      <c r="E189" t="s">
        <v>18</v>
      </c>
      <c r="F189">
        <v>1</v>
      </c>
      <c r="G189">
        <v>12</v>
      </c>
      <c r="H189" t="s">
        <v>261</v>
      </c>
      <c r="I189" t="s">
        <v>257</v>
      </c>
    </row>
    <row r="190" spans="1:9">
      <c r="A190" s="73">
        <v>43096</v>
      </c>
      <c r="B190" t="s">
        <v>22</v>
      </c>
      <c r="C190" t="s">
        <v>23</v>
      </c>
      <c r="D190" t="s">
        <v>15</v>
      </c>
      <c r="E190" t="s">
        <v>14</v>
      </c>
      <c r="F190">
        <v>1</v>
      </c>
      <c r="G190">
        <v>12</v>
      </c>
      <c r="H190" t="s">
        <v>261</v>
      </c>
      <c r="I190" t="s">
        <v>258</v>
      </c>
    </row>
    <row r="191" spans="1:9">
      <c r="A191" s="73">
        <v>43099</v>
      </c>
      <c r="B191" t="s">
        <v>9</v>
      </c>
      <c r="C191" t="s">
        <v>16</v>
      </c>
      <c r="D191" t="s">
        <v>19</v>
      </c>
      <c r="E191" t="s">
        <v>10</v>
      </c>
      <c r="F191">
        <v>8</v>
      </c>
      <c r="G191">
        <v>104</v>
      </c>
      <c r="H191">
        <v>5.2</v>
      </c>
      <c r="I191" t="s">
        <v>259</v>
      </c>
    </row>
    <row r="192" spans="1:9">
      <c r="A192" s="73">
        <v>43102</v>
      </c>
      <c r="B192" t="s">
        <v>13</v>
      </c>
      <c r="C192" t="s">
        <v>21</v>
      </c>
      <c r="D192" t="s">
        <v>11</v>
      </c>
      <c r="E192" t="s">
        <v>10</v>
      </c>
      <c r="F192">
        <v>4</v>
      </c>
      <c r="G192">
        <v>44</v>
      </c>
      <c r="H192" t="s">
        <v>261</v>
      </c>
      <c r="I192" t="s">
        <v>260</v>
      </c>
    </row>
    <row r="193" spans="1:9">
      <c r="A193" s="73">
        <v>43105</v>
      </c>
      <c r="B193" t="s">
        <v>13</v>
      </c>
      <c r="C193" t="s">
        <v>16</v>
      </c>
      <c r="D193" t="s">
        <v>15</v>
      </c>
      <c r="E193" t="s">
        <v>10</v>
      </c>
      <c r="F193">
        <v>8</v>
      </c>
      <c r="G193">
        <v>96</v>
      </c>
      <c r="H193">
        <v>4.8</v>
      </c>
      <c r="I193" t="s">
        <v>260</v>
      </c>
    </row>
    <row r="194" spans="1:9">
      <c r="A194" s="73">
        <v>43109</v>
      </c>
      <c r="B194" t="s">
        <v>17</v>
      </c>
      <c r="C194" t="s">
        <v>21</v>
      </c>
      <c r="D194" t="s">
        <v>11</v>
      </c>
      <c r="E194" t="s">
        <v>14</v>
      </c>
      <c r="F194">
        <v>2</v>
      </c>
      <c r="G194">
        <v>22</v>
      </c>
      <c r="H194" t="s">
        <v>261</v>
      </c>
      <c r="I194" t="s">
        <v>257</v>
      </c>
    </row>
    <row r="195" spans="1:9">
      <c r="A195" s="73">
        <v>43113</v>
      </c>
      <c r="B195" t="s">
        <v>20</v>
      </c>
      <c r="C195" t="s">
        <v>21</v>
      </c>
      <c r="D195" t="s">
        <v>19</v>
      </c>
      <c r="E195" t="s">
        <v>14</v>
      </c>
      <c r="F195">
        <v>3</v>
      </c>
      <c r="G195">
        <v>39</v>
      </c>
      <c r="H195" t="s">
        <v>261</v>
      </c>
      <c r="I195" t="s">
        <v>256</v>
      </c>
    </row>
    <row r="196" spans="1:9">
      <c r="A196" s="73">
        <v>43117</v>
      </c>
      <c r="B196" t="s">
        <v>20</v>
      </c>
      <c r="C196" t="s">
        <v>12</v>
      </c>
      <c r="D196" t="s">
        <v>25</v>
      </c>
      <c r="E196" t="s">
        <v>18</v>
      </c>
      <c r="F196">
        <v>6</v>
      </c>
      <c r="G196">
        <v>84</v>
      </c>
      <c r="H196">
        <v>4.2</v>
      </c>
      <c r="I196" t="s">
        <v>256</v>
      </c>
    </row>
    <row r="197" spans="1:9">
      <c r="A197" s="73">
        <v>43119</v>
      </c>
      <c r="B197" t="s">
        <v>13</v>
      </c>
      <c r="C197" t="s">
        <v>21</v>
      </c>
      <c r="D197" t="s">
        <v>11</v>
      </c>
      <c r="E197" t="s">
        <v>10</v>
      </c>
      <c r="F197">
        <v>8</v>
      </c>
      <c r="G197">
        <v>88</v>
      </c>
      <c r="H197">
        <v>4.4000000000000004</v>
      </c>
      <c r="I197" t="s">
        <v>260</v>
      </c>
    </row>
    <row r="198" spans="1:9">
      <c r="A198" s="73">
        <v>43120</v>
      </c>
      <c r="B198" t="s">
        <v>24</v>
      </c>
      <c r="C198" t="s">
        <v>21</v>
      </c>
      <c r="D198" t="s">
        <v>15</v>
      </c>
      <c r="E198" t="s">
        <v>10</v>
      </c>
      <c r="F198">
        <v>8</v>
      </c>
      <c r="G198">
        <v>96</v>
      </c>
      <c r="H198">
        <v>4.8</v>
      </c>
      <c r="I198" t="s">
        <v>255</v>
      </c>
    </row>
    <row r="199" spans="1:9">
      <c r="A199" s="73">
        <v>43121</v>
      </c>
      <c r="B199" t="s">
        <v>22</v>
      </c>
      <c r="C199" t="s">
        <v>12</v>
      </c>
      <c r="D199" t="s">
        <v>15</v>
      </c>
      <c r="E199" t="s">
        <v>14</v>
      </c>
      <c r="F199">
        <v>4</v>
      </c>
      <c r="G199">
        <v>48</v>
      </c>
      <c r="H199" t="s">
        <v>261</v>
      </c>
      <c r="I199" t="s">
        <v>258</v>
      </c>
    </row>
    <row r="200" spans="1:9">
      <c r="A200" s="73">
        <v>43123</v>
      </c>
      <c r="B200" t="s">
        <v>13</v>
      </c>
      <c r="C200" t="s">
        <v>12</v>
      </c>
      <c r="D200" t="s">
        <v>15</v>
      </c>
      <c r="E200" t="s">
        <v>18</v>
      </c>
      <c r="F200">
        <v>6</v>
      </c>
      <c r="G200">
        <v>72</v>
      </c>
      <c r="H200">
        <v>3.6</v>
      </c>
      <c r="I200" t="s">
        <v>260</v>
      </c>
    </row>
    <row r="201" spans="1:9">
      <c r="A201" s="73">
        <v>43124</v>
      </c>
      <c r="B201" t="s">
        <v>17</v>
      </c>
      <c r="C201" t="s">
        <v>21</v>
      </c>
      <c r="D201" t="s">
        <v>25</v>
      </c>
      <c r="E201" t="s">
        <v>10</v>
      </c>
      <c r="F201">
        <v>7</v>
      </c>
      <c r="G201">
        <v>98</v>
      </c>
      <c r="H201">
        <v>4.9000000000000004</v>
      </c>
      <c r="I201" t="s">
        <v>257</v>
      </c>
    </row>
    <row r="202" spans="1:9">
      <c r="A202" s="73">
        <v>43125</v>
      </c>
      <c r="B202" t="s">
        <v>22</v>
      </c>
      <c r="C202" t="s">
        <v>23</v>
      </c>
      <c r="D202" t="s">
        <v>15</v>
      </c>
      <c r="E202" t="s">
        <v>10</v>
      </c>
      <c r="F202">
        <v>3</v>
      </c>
      <c r="G202">
        <v>36</v>
      </c>
      <c r="H202" t="s">
        <v>261</v>
      </c>
      <c r="I202" t="s">
        <v>258</v>
      </c>
    </row>
    <row r="203" spans="1:9">
      <c r="A203" s="73">
        <v>43128</v>
      </c>
      <c r="B203" t="s">
        <v>22</v>
      </c>
      <c r="C203" t="s">
        <v>21</v>
      </c>
      <c r="D203" t="s">
        <v>19</v>
      </c>
      <c r="E203" t="s">
        <v>18</v>
      </c>
      <c r="F203">
        <v>4</v>
      </c>
      <c r="G203">
        <v>52</v>
      </c>
      <c r="H203" t="s">
        <v>261</v>
      </c>
      <c r="I203" t="s">
        <v>258</v>
      </c>
    </row>
    <row r="204" spans="1:9">
      <c r="A204" s="73">
        <v>43131</v>
      </c>
      <c r="B204" t="s">
        <v>17</v>
      </c>
      <c r="C204" t="s">
        <v>12</v>
      </c>
      <c r="D204" t="s">
        <v>25</v>
      </c>
      <c r="E204" t="s">
        <v>14</v>
      </c>
      <c r="F204">
        <v>6</v>
      </c>
      <c r="G204">
        <v>84</v>
      </c>
      <c r="H204">
        <v>4.2</v>
      </c>
      <c r="I204" t="s">
        <v>257</v>
      </c>
    </row>
    <row r="205" spans="1:9">
      <c r="A205" s="73">
        <v>43134</v>
      </c>
      <c r="B205" t="s">
        <v>13</v>
      </c>
      <c r="C205" t="s">
        <v>21</v>
      </c>
      <c r="D205" t="s">
        <v>11</v>
      </c>
      <c r="E205" t="s">
        <v>10</v>
      </c>
      <c r="F205">
        <v>1</v>
      </c>
      <c r="G205">
        <v>11</v>
      </c>
      <c r="H205" t="s">
        <v>261</v>
      </c>
      <c r="I205" t="s">
        <v>260</v>
      </c>
    </row>
    <row r="206" spans="1:9">
      <c r="A206" s="73">
        <v>43137</v>
      </c>
      <c r="B206" t="s">
        <v>24</v>
      </c>
      <c r="C206" t="s">
        <v>16</v>
      </c>
      <c r="D206" t="s">
        <v>11</v>
      </c>
      <c r="E206" t="s">
        <v>10</v>
      </c>
      <c r="F206">
        <v>6</v>
      </c>
      <c r="G206">
        <v>66</v>
      </c>
      <c r="H206" t="s">
        <v>261</v>
      </c>
      <c r="I206" t="s">
        <v>255</v>
      </c>
    </row>
    <row r="207" spans="1:9">
      <c r="A207" s="73">
        <v>43138</v>
      </c>
      <c r="B207" t="s">
        <v>20</v>
      </c>
      <c r="C207" t="s">
        <v>12</v>
      </c>
      <c r="D207" t="s">
        <v>15</v>
      </c>
      <c r="E207" t="s">
        <v>10</v>
      </c>
      <c r="F207">
        <v>1</v>
      </c>
      <c r="G207">
        <v>12</v>
      </c>
      <c r="H207" t="s">
        <v>261</v>
      </c>
      <c r="I207" t="s">
        <v>256</v>
      </c>
    </row>
    <row r="208" spans="1:9">
      <c r="A208" s="73">
        <v>43140</v>
      </c>
      <c r="B208" t="s">
        <v>13</v>
      </c>
      <c r="C208" t="s">
        <v>16</v>
      </c>
      <c r="D208" t="s">
        <v>15</v>
      </c>
      <c r="E208" t="s">
        <v>14</v>
      </c>
      <c r="F208">
        <v>3</v>
      </c>
      <c r="G208">
        <v>36</v>
      </c>
      <c r="H208" t="s">
        <v>261</v>
      </c>
      <c r="I208" t="s">
        <v>260</v>
      </c>
    </row>
    <row r="209" spans="1:9">
      <c r="A209" s="73">
        <v>43142</v>
      </c>
      <c r="B209" t="s">
        <v>20</v>
      </c>
      <c r="C209" t="s">
        <v>21</v>
      </c>
      <c r="D209" t="s">
        <v>19</v>
      </c>
      <c r="E209" t="s">
        <v>14</v>
      </c>
      <c r="F209">
        <v>3</v>
      </c>
      <c r="G209">
        <v>39</v>
      </c>
      <c r="H209" t="s">
        <v>261</v>
      </c>
      <c r="I209" t="s">
        <v>256</v>
      </c>
    </row>
    <row r="210" spans="1:9">
      <c r="A210" s="73">
        <v>43145</v>
      </c>
      <c r="B210" t="s">
        <v>22</v>
      </c>
      <c r="C210" t="s">
        <v>16</v>
      </c>
      <c r="D210" t="s">
        <v>15</v>
      </c>
      <c r="E210" t="s">
        <v>10</v>
      </c>
      <c r="F210">
        <v>8</v>
      </c>
      <c r="G210">
        <v>96</v>
      </c>
      <c r="H210">
        <v>4.8</v>
      </c>
      <c r="I210" t="s">
        <v>258</v>
      </c>
    </row>
    <row r="211" spans="1:9">
      <c r="A211" s="73">
        <v>43147</v>
      </c>
      <c r="B211" t="s">
        <v>17</v>
      </c>
      <c r="C211" t="s">
        <v>23</v>
      </c>
      <c r="D211" t="s">
        <v>25</v>
      </c>
      <c r="E211" t="s">
        <v>14</v>
      </c>
      <c r="F211">
        <v>3</v>
      </c>
      <c r="G211">
        <v>42</v>
      </c>
      <c r="H211" t="s">
        <v>261</v>
      </c>
      <c r="I211" t="s">
        <v>257</v>
      </c>
    </row>
    <row r="212" spans="1:9">
      <c r="A212" s="73">
        <v>43150</v>
      </c>
      <c r="B212" t="s">
        <v>24</v>
      </c>
      <c r="C212" t="s">
        <v>12</v>
      </c>
      <c r="D212" t="s">
        <v>15</v>
      </c>
      <c r="E212" t="s">
        <v>10</v>
      </c>
      <c r="F212">
        <v>7</v>
      </c>
      <c r="G212">
        <v>84</v>
      </c>
      <c r="H212">
        <v>4.2</v>
      </c>
      <c r="I212" t="s">
        <v>255</v>
      </c>
    </row>
    <row r="213" spans="1:9">
      <c r="A213" s="73">
        <v>43154</v>
      </c>
      <c r="B213" t="s">
        <v>13</v>
      </c>
      <c r="C213" t="s">
        <v>12</v>
      </c>
      <c r="D213" t="s">
        <v>15</v>
      </c>
      <c r="E213" t="s">
        <v>14</v>
      </c>
      <c r="F213">
        <v>5</v>
      </c>
      <c r="G213">
        <v>60</v>
      </c>
      <c r="H213" t="s">
        <v>261</v>
      </c>
      <c r="I213" t="s">
        <v>260</v>
      </c>
    </row>
    <row r="214" spans="1:9">
      <c r="A214" s="73">
        <v>43157</v>
      </c>
      <c r="B214" t="s">
        <v>13</v>
      </c>
      <c r="C214" t="s">
        <v>21</v>
      </c>
      <c r="D214" t="s">
        <v>19</v>
      </c>
      <c r="E214" t="s">
        <v>18</v>
      </c>
      <c r="F214">
        <v>4</v>
      </c>
      <c r="G214">
        <v>52</v>
      </c>
      <c r="H214" t="s">
        <v>261</v>
      </c>
      <c r="I214" t="s">
        <v>260</v>
      </c>
    </row>
    <row r="215" spans="1:9">
      <c r="A215" s="73">
        <v>43161</v>
      </c>
      <c r="B215" t="s">
        <v>22</v>
      </c>
      <c r="C215" t="s">
        <v>21</v>
      </c>
      <c r="D215" t="s">
        <v>11</v>
      </c>
      <c r="E215" t="s">
        <v>10</v>
      </c>
      <c r="F215">
        <v>5</v>
      </c>
      <c r="G215">
        <v>55</v>
      </c>
      <c r="H215" t="s">
        <v>261</v>
      </c>
      <c r="I215" t="s">
        <v>258</v>
      </c>
    </row>
    <row r="216" spans="1:9">
      <c r="A216" s="73">
        <v>43164</v>
      </c>
      <c r="B216" t="s">
        <v>13</v>
      </c>
      <c r="C216" t="s">
        <v>12</v>
      </c>
      <c r="D216" t="s">
        <v>11</v>
      </c>
      <c r="E216" t="s">
        <v>10</v>
      </c>
      <c r="F216">
        <v>1</v>
      </c>
      <c r="G216">
        <v>11</v>
      </c>
      <c r="H216" t="s">
        <v>261</v>
      </c>
      <c r="I216" t="s">
        <v>260</v>
      </c>
    </row>
    <row r="217" spans="1:9">
      <c r="A217" s="73">
        <v>43165</v>
      </c>
      <c r="B217" t="s">
        <v>20</v>
      </c>
      <c r="C217" t="s">
        <v>21</v>
      </c>
      <c r="D217" t="s">
        <v>15</v>
      </c>
      <c r="E217" t="s">
        <v>14</v>
      </c>
      <c r="F217">
        <v>8</v>
      </c>
      <c r="G217">
        <v>96</v>
      </c>
      <c r="H217">
        <v>4.8</v>
      </c>
      <c r="I217" t="s">
        <v>256</v>
      </c>
    </row>
    <row r="218" spans="1:9">
      <c r="A218" s="73">
        <v>43168</v>
      </c>
      <c r="B218" t="s">
        <v>24</v>
      </c>
      <c r="C218" t="s">
        <v>21</v>
      </c>
      <c r="D218" t="s">
        <v>15</v>
      </c>
      <c r="E218" t="s">
        <v>18</v>
      </c>
      <c r="F218">
        <v>7</v>
      </c>
      <c r="G218">
        <v>84</v>
      </c>
      <c r="H218">
        <v>4.2</v>
      </c>
      <c r="I218" t="s">
        <v>255</v>
      </c>
    </row>
    <row r="219" spans="1:9">
      <c r="A219" s="73">
        <v>43170</v>
      </c>
      <c r="B219" t="s">
        <v>17</v>
      </c>
      <c r="C219" t="s">
        <v>12</v>
      </c>
      <c r="D219" t="s">
        <v>25</v>
      </c>
      <c r="E219" t="s">
        <v>14</v>
      </c>
      <c r="F219">
        <v>5</v>
      </c>
      <c r="G219">
        <v>70</v>
      </c>
      <c r="H219">
        <v>3.5</v>
      </c>
      <c r="I219" t="s">
        <v>257</v>
      </c>
    </row>
    <row r="220" spans="1:9">
      <c r="A220" s="73">
        <v>43174</v>
      </c>
      <c r="B220" t="s">
        <v>13</v>
      </c>
      <c r="C220" t="s">
        <v>12</v>
      </c>
      <c r="D220" t="s">
        <v>25</v>
      </c>
      <c r="E220" t="s">
        <v>18</v>
      </c>
      <c r="F220">
        <v>4</v>
      </c>
      <c r="G220">
        <v>56</v>
      </c>
      <c r="H220" t="s">
        <v>261</v>
      </c>
      <c r="I220" t="s">
        <v>260</v>
      </c>
    </row>
    <row r="221" spans="1:9">
      <c r="A221" s="73">
        <v>43175</v>
      </c>
      <c r="B221" t="s">
        <v>17</v>
      </c>
      <c r="C221" t="s">
        <v>12</v>
      </c>
      <c r="D221" t="s">
        <v>15</v>
      </c>
      <c r="E221" t="s">
        <v>14</v>
      </c>
      <c r="F221">
        <v>6</v>
      </c>
      <c r="G221">
        <v>72</v>
      </c>
      <c r="H221">
        <v>3.6</v>
      </c>
      <c r="I221" t="s">
        <v>257</v>
      </c>
    </row>
    <row r="222" spans="1:9">
      <c r="A222" s="73">
        <v>43176</v>
      </c>
      <c r="B222" t="s">
        <v>13</v>
      </c>
      <c r="C222" t="s">
        <v>23</v>
      </c>
      <c r="D222" t="s">
        <v>15</v>
      </c>
      <c r="E222" t="s">
        <v>18</v>
      </c>
      <c r="F222">
        <v>4</v>
      </c>
      <c r="G222">
        <v>48</v>
      </c>
      <c r="H222" t="s">
        <v>261</v>
      </c>
      <c r="I222" t="s">
        <v>260</v>
      </c>
    </row>
    <row r="223" spans="1:9">
      <c r="A223" s="73">
        <v>43177</v>
      </c>
      <c r="B223" t="s">
        <v>20</v>
      </c>
      <c r="C223" t="s">
        <v>21</v>
      </c>
      <c r="D223" t="s">
        <v>25</v>
      </c>
      <c r="E223" t="s">
        <v>10</v>
      </c>
      <c r="F223">
        <v>4</v>
      </c>
      <c r="G223">
        <v>56</v>
      </c>
      <c r="H223" t="s">
        <v>261</v>
      </c>
      <c r="I223" t="s">
        <v>256</v>
      </c>
    </row>
    <row r="224" spans="1:9">
      <c r="A224" s="73">
        <v>43178</v>
      </c>
      <c r="B224" t="s">
        <v>24</v>
      </c>
      <c r="C224" t="s">
        <v>12</v>
      </c>
      <c r="D224" t="s">
        <v>19</v>
      </c>
      <c r="E224" t="s">
        <v>18</v>
      </c>
      <c r="F224">
        <v>1</v>
      </c>
      <c r="G224">
        <v>13</v>
      </c>
      <c r="H224" t="s">
        <v>261</v>
      </c>
      <c r="I224" t="s">
        <v>255</v>
      </c>
    </row>
    <row r="225" spans="1:9">
      <c r="A225" s="73">
        <v>43182</v>
      </c>
      <c r="B225" t="s">
        <v>22</v>
      </c>
      <c r="C225" t="s">
        <v>16</v>
      </c>
      <c r="D225" t="s">
        <v>19</v>
      </c>
      <c r="E225" t="s">
        <v>10</v>
      </c>
      <c r="F225">
        <v>8</v>
      </c>
      <c r="G225">
        <v>104</v>
      </c>
      <c r="H225">
        <v>5.2</v>
      </c>
      <c r="I225" t="s">
        <v>258</v>
      </c>
    </row>
    <row r="226" spans="1:9">
      <c r="A226" s="73">
        <v>43184</v>
      </c>
      <c r="B226" t="s">
        <v>24</v>
      </c>
      <c r="C226" t="s">
        <v>12</v>
      </c>
      <c r="D226" t="s">
        <v>19</v>
      </c>
      <c r="E226" t="s">
        <v>18</v>
      </c>
      <c r="F226">
        <v>1</v>
      </c>
      <c r="G226">
        <v>13</v>
      </c>
      <c r="H226" t="s">
        <v>261</v>
      </c>
      <c r="I226" t="s">
        <v>255</v>
      </c>
    </row>
    <row r="227" spans="1:9">
      <c r="A227" s="73">
        <v>43186</v>
      </c>
      <c r="B227" t="s">
        <v>20</v>
      </c>
      <c r="C227" t="s">
        <v>23</v>
      </c>
      <c r="D227" t="s">
        <v>15</v>
      </c>
      <c r="E227" t="s">
        <v>10</v>
      </c>
      <c r="F227">
        <v>4</v>
      </c>
      <c r="G227">
        <v>48</v>
      </c>
      <c r="H227" t="s">
        <v>261</v>
      </c>
      <c r="I227" t="s">
        <v>256</v>
      </c>
    </row>
    <row r="228" spans="1:9">
      <c r="A228" s="73">
        <v>43189</v>
      </c>
      <c r="B228" t="s">
        <v>17</v>
      </c>
      <c r="C228" t="s">
        <v>12</v>
      </c>
      <c r="D228" t="s">
        <v>25</v>
      </c>
      <c r="E228" t="s">
        <v>18</v>
      </c>
      <c r="F228">
        <v>1</v>
      </c>
      <c r="G228">
        <v>14</v>
      </c>
      <c r="H228" t="s">
        <v>261</v>
      </c>
      <c r="I228" t="s">
        <v>257</v>
      </c>
    </row>
    <row r="229" spans="1:9">
      <c r="A229" s="73">
        <v>43191</v>
      </c>
      <c r="B229" t="s">
        <v>22</v>
      </c>
      <c r="C229" t="s">
        <v>16</v>
      </c>
      <c r="D229" t="s">
        <v>25</v>
      </c>
      <c r="E229" t="s">
        <v>10</v>
      </c>
      <c r="F229">
        <v>4</v>
      </c>
      <c r="G229">
        <v>56</v>
      </c>
      <c r="H229" t="s">
        <v>261</v>
      </c>
      <c r="I229" t="s">
        <v>258</v>
      </c>
    </row>
    <row r="230" spans="1:9">
      <c r="A230" s="73">
        <v>43194</v>
      </c>
      <c r="B230" t="s">
        <v>20</v>
      </c>
      <c r="C230" t="s">
        <v>12</v>
      </c>
      <c r="D230" t="s">
        <v>11</v>
      </c>
      <c r="E230" t="s">
        <v>10</v>
      </c>
      <c r="F230">
        <v>8</v>
      </c>
      <c r="G230">
        <v>88</v>
      </c>
      <c r="H230">
        <v>4.4000000000000004</v>
      </c>
      <c r="I230" t="s">
        <v>256</v>
      </c>
    </row>
    <row r="231" spans="1:9">
      <c r="A231" s="73">
        <v>43196</v>
      </c>
      <c r="B231" t="s">
        <v>13</v>
      </c>
      <c r="C231" t="s">
        <v>12</v>
      </c>
      <c r="D231" t="s">
        <v>25</v>
      </c>
      <c r="E231" t="s">
        <v>18</v>
      </c>
      <c r="F231">
        <v>4</v>
      </c>
      <c r="G231">
        <v>56</v>
      </c>
      <c r="H231" t="s">
        <v>261</v>
      </c>
      <c r="I231" t="s">
        <v>260</v>
      </c>
    </row>
    <row r="232" spans="1:9">
      <c r="A232" s="73">
        <v>43197</v>
      </c>
      <c r="B232" t="s">
        <v>13</v>
      </c>
      <c r="C232" t="s">
        <v>21</v>
      </c>
      <c r="D232" t="s">
        <v>19</v>
      </c>
      <c r="E232" t="s">
        <v>14</v>
      </c>
      <c r="F232">
        <v>6</v>
      </c>
      <c r="G232">
        <v>78</v>
      </c>
      <c r="H232">
        <v>3.9</v>
      </c>
      <c r="I232" t="s">
        <v>260</v>
      </c>
    </row>
    <row r="233" spans="1:9">
      <c r="A233" s="73">
        <v>43201</v>
      </c>
      <c r="B233" t="s">
        <v>17</v>
      </c>
      <c r="C233" t="s">
        <v>23</v>
      </c>
      <c r="D233" t="s">
        <v>25</v>
      </c>
      <c r="E233" t="s">
        <v>18</v>
      </c>
      <c r="F233">
        <v>8</v>
      </c>
      <c r="G233">
        <v>112</v>
      </c>
      <c r="H233">
        <v>5.6</v>
      </c>
      <c r="I233" t="s">
        <v>257</v>
      </c>
    </row>
    <row r="234" spans="1:9">
      <c r="A234" s="73">
        <v>43205</v>
      </c>
      <c r="B234" t="s">
        <v>20</v>
      </c>
      <c r="C234" t="s">
        <v>21</v>
      </c>
      <c r="D234" t="s">
        <v>25</v>
      </c>
      <c r="E234" t="s">
        <v>10</v>
      </c>
      <c r="F234">
        <v>3</v>
      </c>
      <c r="G234">
        <v>42</v>
      </c>
      <c r="H234" t="s">
        <v>261</v>
      </c>
      <c r="I234" t="s">
        <v>256</v>
      </c>
    </row>
    <row r="235" spans="1:9">
      <c r="A235" s="73">
        <v>43206</v>
      </c>
      <c r="B235" t="s">
        <v>24</v>
      </c>
      <c r="C235" t="s">
        <v>21</v>
      </c>
      <c r="D235" t="s">
        <v>15</v>
      </c>
      <c r="E235" t="s">
        <v>10</v>
      </c>
      <c r="F235">
        <v>2</v>
      </c>
      <c r="G235">
        <v>24</v>
      </c>
      <c r="H235" t="s">
        <v>261</v>
      </c>
      <c r="I235" t="s">
        <v>255</v>
      </c>
    </row>
    <row r="236" spans="1:9">
      <c r="A236" s="73">
        <v>43210</v>
      </c>
      <c r="B236" t="s">
        <v>13</v>
      </c>
      <c r="C236" t="s">
        <v>21</v>
      </c>
      <c r="D236" t="s">
        <v>15</v>
      </c>
      <c r="E236" t="s">
        <v>18</v>
      </c>
      <c r="F236">
        <v>7</v>
      </c>
      <c r="G236">
        <v>84</v>
      </c>
      <c r="H236">
        <v>4.2</v>
      </c>
      <c r="I236" t="s">
        <v>260</v>
      </c>
    </row>
    <row r="237" spans="1:9">
      <c r="A237" s="73">
        <v>43211</v>
      </c>
      <c r="B237" t="s">
        <v>22</v>
      </c>
      <c r="C237" t="s">
        <v>12</v>
      </c>
      <c r="D237" t="s">
        <v>19</v>
      </c>
      <c r="E237" t="s">
        <v>10</v>
      </c>
      <c r="F237">
        <v>1</v>
      </c>
      <c r="G237">
        <v>13</v>
      </c>
      <c r="H237" t="s">
        <v>261</v>
      </c>
      <c r="I237" t="s">
        <v>258</v>
      </c>
    </row>
    <row r="238" spans="1:9">
      <c r="A238" s="73">
        <v>43212</v>
      </c>
      <c r="B238" t="s">
        <v>13</v>
      </c>
      <c r="C238" t="s">
        <v>21</v>
      </c>
      <c r="D238" t="s">
        <v>19</v>
      </c>
      <c r="E238" t="s">
        <v>14</v>
      </c>
      <c r="F238">
        <v>5</v>
      </c>
      <c r="G238">
        <v>65</v>
      </c>
      <c r="H238" t="s">
        <v>261</v>
      </c>
      <c r="I238" t="s">
        <v>260</v>
      </c>
    </row>
    <row r="239" spans="1:9">
      <c r="A239" s="73">
        <v>43216</v>
      </c>
      <c r="B239" t="s">
        <v>22</v>
      </c>
      <c r="C239" t="s">
        <v>21</v>
      </c>
      <c r="D239" t="s">
        <v>11</v>
      </c>
      <c r="E239" t="s">
        <v>14</v>
      </c>
      <c r="F239">
        <v>8</v>
      </c>
      <c r="G239">
        <v>88</v>
      </c>
      <c r="H239">
        <v>4.4000000000000004</v>
      </c>
      <c r="I239" t="s">
        <v>258</v>
      </c>
    </row>
    <row r="240" spans="1:9">
      <c r="A240" s="73">
        <v>43220</v>
      </c>
      <c r="B240" t="s">
        <v>17</v>
      </c>
      <c r="C240" t="s">
        <v>12</v>
      </c>
      <c r="D240" t="s">
        <v>25</v>
      </c>
      <c r="E240" t="s">
        <v>10</v>
      </c>
      <c r="F240">
        <v>8</v>
      </c>
      <c r="G240">
        <v>112</v>
      </c>
      <c r="H240">
        <v>5.6</v>
      </c>
      <c r="I240" t="s">
        <v>257</v>
      </c>
    </row>
    <row r="241" spans="1:9">
      <c r="A241" s="73">
        <v>43224</v>
      </c>
      <c r="B241" t="s">
        <v>24</v>
      </c>
      <c r="C241" t="s">
        <v>12</v>
      </c>
      <c r="D241" t="s">
        <v>15</v>
      </c>
      <c r="E241" t="s">
        <v>10</v>
      </c>
      <c r="F241">
        <v>3</v>
      </c>
      <c r="G241">
        <v>36</v>
      </c>
      <c r="H241" t="s">
        <v>261</v>
      </c>
      <c r="I241" t="s">
        <v>255</v>
      </c>
    </row>
    <row r="242" spans="1:9">
      <c r="A242" s="73">
        <v>43225</v>
      </c>
      <c r="B242" t="s">
        <v>17</v>
      </c>
      <c r="C242" t="s">
        <v>12</v>
      </c>
      <c r="D242" t="s">
        <v>11</v>
      </c>
      <c r="E242" t="s">
        <v>10</v>
      </c>
      <c r="F242">
        <v>2</v>
      </c>
      <c r="G242">
        <v>22</v>
      </c>
      <c r="H242" t="s">
        <v>261</v>
      </c>
      <c r="I242" t="s">
        <v>257</v>
      </c>
    </row>
    <row r="243" spans="1:9">
      <c r="A243" s="73">
        <v>43229</v>
      </c>
      <c r="B243" t="s">
        <v>13</v>
      </c>
      <c r="C243" t="s">
        <v>12</v>
      </c>
      <c r="D243" t="s">
        <v>15</v>
      </c>
      <c r="E243" t="s">
        <v>14</v>
      </c>
      <c r="F243">
        <v>1</v>
      </c>
      <c r="G243">
        <v>12</v>
      </c>
      <c r="H243" t="s">
        <v>261</v>
      </c>
      <c r="I243" t="s">
        <v>260</v>
      </c>
    </row>
    <row r="244" spans="1:9">
      <c r="A244" s="73">
        <v>43232</v>
      </c>
      <c r="B244" t="s">
        <v>24</v>
      </c>
      <c r="C244" t="s">
        <v>23</v>
      </c>
      <c r="D244" t="s">
        <v>15</v>
      </c>
      <c r="E244" t="s">
        <v>10</v>
      </c>
      <c r="F244">
        <v>6</v>
      </c>
      <c r="G244">
        <v>72</v>
      </c>
      <c r="H244">
        <v>3.6</v>
      </c>
      <c r="I244" t="s">
        <v>255</v>
      </c>
    </row>
    <row r="245" spans="1:9">
      <c r="A245" s="73">
        <v>43233</v>
      </c>
      <c r="B245" t="s">
        <v>17</v>
      </c>
      <c r="C245" t="s">
        <v>16</v>
      </c>
      <c r="D245" t="s">
        <v>19</v>
      </c>
      <c r="E245" t="s">
        <v>18</v>
      </c>
      <c r="F245">
        <v>1</v>
      </c>
      <c r="G245">
        <v>13</v>
      </c>
      <c r="H245" t="s">
        <v>261</v>
      </c>
      <c r="I245" t="s">
        <v>257</v>
      </c>
    </row>
    <row r="246" spans="1:9">
      <c r="A246" s="73">
        <v>43236</v>
      </c>
      <c r="B246" t="s">
        <v>24</v>
      </c>
      <c r="C246" t="s">
        <v>12</v>
      </c>
      <c r="D246" t="s">
        <v>19</v>
      </c>
      <c r="E246" t="s">
        <v>18</v>
      </c>
      <c r="F246">
        <v>2</v>
      </c>
      <c r="G246">
        <v>26</v>
      </c>
      <c r="H246" t="s">
        <v>261</v>
      </c>
      <c r="I246" t="s">
        <v>255</v>
      </c>
    </row>
    <row r="247" spans="1:9">
      <c r="A247" s="73">
        <v>43240</v>
      </c>
      <c r="B247" t="s">
        <v>22</v>
      </c>
      <c r="C247" t="s">
        <v>12</v>
      </c>
      <c r="D247" t="s">
        <v>25</v>
      </c>
      <c r="E247" t="s">
        <v>14</v>
      </c>
      <c r="F247">
        <v>1</v>
      </c>
      <c r="G247">
        <v>14</v>
      </c>
      <c r="H247" t="s">
        <v>261</v>
      </c>
      <c r="I247" t="s">
        <v>258</v>
      </c>
    </row>
    <row r="248" spans="1:9">
      <c r="A248" s="73">
        <v>43241</v>
      </c>
      <c r="B248" t="s">
        <v>24</v>
      </c>
      <c r="C248" t="s">
        <v>16</v>
      </c>
      <c r="D248" t="s">
        <v>15</v>
      </c>
      <c r="E248" t="s">
        <v>10</v>
      </c>
      <c r="F248">
        <v>6</v>
      </c>
      <c r="G248">
        <v>72</v>
      </c>
      <c r="H248">
        <v>3.6</v>
      </c>
      <c r="I248" t="s">
        <v>255</v>
      </c>
    </row>
    <row r="249" spans="1:9">
      <c r="A249" s="73">
        <v>43245</v>
      </c>
      <c r="B249" t="s">
        <v>24</v>
      </c>
      <c r="C249" t="s">
        <v>16</v>
      </c>
      <c r="D249" t="s">
        <v>11</v>
      </c>
      <c r="E249" t="s">
        <v>10</v>
      </c>
      <c r="F249">
        <v>1</v>
      </c>
      <c r="G249">
        <v>11</v>
      </c>
      <c r="H249" t="s">
        <v>261</v>
      </c>
      <c r="I249" t="s">
        <v>255</v>
      </c>
    </row>
    <row r="250" spans="1:9">
      <c r="A250" s="73">
        <v>43247</v>
      </c>
      <c r="B250" t="s">
        <v>22</v>
      </c>
      <c r="C250" t="s">
        <v>12</v>
      </c>
      <c r="D250" t="s">
        <v>25</v>
      </c>
      <c r="E250" t="s">
        <v>10</v>
      </c>
      <c r="F250">
        <v>5</v>
      </c>
      <c r="G250">
        <v>70</v>
      </c>
      <c r="H250">
        <v>3.5</v>
      </c>
      <c r="I250" t="s">
        <v>258</v>
      </c>
    </row>
    <row r="251" spans="1:9">
      <c r="A251" s="73">
        <v>43250</v>
      </c>
      <c r="B251" t="s">
        <v>13</v>
      </c>
      <c r="C251" t="s">
        <v>21</v>
      </c>
      <c r="D251" t="s">
        <v>11</v>
      </c>
      <c r="E251" t="s">
        <v>14</v>
      </c>
      <c r="F251">
        <v>7</v>
      </c>
      <c r="G251">
        <v>77</v>
      </c>
      <c r="H251">
        <v>3.85</v>
      </c>
      <c r="I251" t="s">
        <v>260</v>
      </c>
    </row>
    <row r="252" spans="1:9">
      <c r="A252" s="73">
        <v>43253</v>
      </c>
      <c r="B252" t="s">
        <v>24</v>
      </c>
      <c r="C252" t="s">
        <v>16</v>
      </c>
      <c r="D252" t="s">
        <v>25</v>
      </c>
      <c r="E252" t="s">
        <v>10</v>
      </c>
      <c r="F252">
        <v>7</v>
      </c>
      <c r="G252">
        <v>98</v>
      </c>
      <c r="H252">
        <v>4.9000000000000004</v>
      </c>
      <c r="I252" t="s">
        <v>255</v>
      </c>
    </row>
    <row r="253" spans="1:9">
      <c r="A253" s="73">
        <v>43254</v>
      </c>
      <c r="B253" t="s">
        <v>22</v>
      </c>
      <c r="C253" t="s">
        <v>21</v>
      </c>
      <c r="D253" t="s">
        <v>25</v>
      </c>
      <c r="E253" t="s">
        <v>10</v>
      </c>
      <c r="F253">
        <v>7</v>
      </c>
      <c r="G253">
        <v>98</v>
      </c>
      <c r="H253">
        <v>4.9000000000000004</v>
      </c>
      <c r="I253" t="s">
        <v>258</v>
      </c>
    </row>
    <row r="254" spans="1:9">
      <c r="A254" s="73">
        <v>43258</v>
      </c>
      <c r="B254" t="s">
        <v>13</v>
      </c>
      <c r="C254" t="s">
        <v>16</v>
      </c>
      <c r="D254" t="s">
        <v>15</v>
      </c>
      <c r="E254" t="s">
        <v>18</v>
      </c>
      <c r="F254">
        <v>1</v>
      </c>
      <c r="G254">
        <v>12</v>
      </c>
      <c r="H254" t="s">
        <v>261</v>
      </c>
      <c r="I254" t="s">
        <v>260</v>
      </c>
    </row>
    <row r="255" spans="1:9">
      <c r="A255" s="73">
        <v>43261</v>
      </c>
      <c r="B255" t="s">
        <v>17</v>
      </c>
      <c r="C255" t="s">
        <v>21</v>
      </c>
      <c r="D255" t="s">
        <v>19</v>
      </c>
      <c r="E255" t="s">
        <v>10</v>
      </c>
      <c r="F255">
        <v>2</v>
      </c>
      <c r="G255">
        <v>26</v>
      </c>
      <c r="H255" t="s">
        <v>261</v>
      </c>
      <c r="I255" t="s">
        <v>257</v>
      </c>
    </row>
    <row r="256" spans="1:9">
      <c r="A256" s="73">
        <v>43264</v>
      </c>
      <c r="B256" t="s">
        <v>13</v>
      </c>
      <c r="C256" t="s">
        <v>16</v>
      </c>
      <c r="D256" t="s">
        <v>25</v>
      </c>
      <c r="E256" t="s">
        <v>14</v>
      </c>
      <c r="F256">
        <v>7</v>
      </c>
      <c r="G256">
        <v>98</v>
      </c>
      <c r="H256">
        <v>4.9000000000000004</v>
      </c>
      <c r="I256" t="s">
        <v>260</v>
      </c>
    </row>
    <row r="257" spans="1:9">
      <c r="A257" s="73">
        <v>43266</v>
      </c>
      <c r="B257" t="s">
        <v>13</v>
      </c>
      <c r="C257" t="s">
        <v>23</v>
      </c>
      <c r="D257" t="s">
        <v>11</v>
      </c>
      <c r="E257" t="s">
        <v>10</v>
      </c>
      <c r="F257">
        <v>2</v>
      </c>
      <c r="G257">
        <v>22</v>
      </c>
      <c r="H257" t="s">
        <v>261</v>
      </c>
      <c r="I257" t="s">
        <v>260</v>
      </c>
    </row>
    <row r="258" spans="1:9">
      <c r="A258" s="73">
        <v>43267</v>
      </c>
      <c r="B258" t="s">
        <v>24</v>
      </c>
      <c r="C258" t="s">
        <v>21</v>
      </c>
      <c r="D258" t="s">
        <v>19</v>
      </c>
      <c r="E258" t="s">
        <v>14</v>
      </c>
      <c r="F258">
        <v>5</v>
      </c>
      <c r="G258">
        <v>65</v>
      </c>
      <c r="H258" t="s">
        <v>261</v>
      </c>
      <c r="I258" t="s">
        <v>255</v>
      </c>
    </row>
    <row r="259" spans="1:9">
      <c r="A259" s="73">
        <v>43269</v>
      </c>
      <c r="B259" t="s">
        <v>20</v>
      </c>
      <c r="C259" t="s">
        <v>23</v>
      </c>
      <c r="D259" t="s">
        <v>25</v>
      </c>
      <c r="E259" t="s">
        <v>18</v>
      </c>
      <c r="F259">
        <v>3</v>
      </c>
      <c r="G259">
        <v>42</v>
      </c>
      <c r="H259" t="s">
        <v>261</v>
      </c>
      <c r="I259" t="s">
        <v>256</v>
      </c>
    </row>
    <row r="260" spans="1:9">
      <c r="A260" s="73">
        <v>43272</v>
      </c>
      <c r="B260" t="s">
        <v>20</v>
      </c>
      <c r="C260" t="s">
        <v>23</v>
      </c>
      <c r="D260" t="s">
        <v>25</v>
      </c>
      <c r="E260" t="s">
        <v>14</v>
      </c>
      <c r="F260">
        <v>8</v>
      </c>
      <c r="G260">
        <v>112</v>
      </c>
      <c r="H260">
        <v>5.6</v>
      </c>
      <c r="I260" t="s">
        <v>256</v>
      </c>
    </row>
    <row r="261" spans="1:9">
      <c r="A261" s="73">
        <v>43274</v>
      </c>
      <c r="B261" t="s">
        <v>13</v>
      </c>
      <c r="C261" t="s">
        <v>12</v>
      </c>
      <c r="D261" t="s">
        <v>19</v>
      </c>
      <c r="E261" t="s">
        <v>10</v>
      </c>
      <c r="F261">
        <v>6</v>
      </c>
      <c r="G261">
        <v>78</v>
      </c>
      <c r="H261">
        <v>3.9</v>
      </c>
      <c r="I261" t="s">
        <v>260</v>
      </c>
    </row>
    <row r="262" spans="1:9">
      <c r="A262" s="73">
        <v>43276</v>
      </c>
      <c r="B262" t="s">
        <v>22</v>
      </c>
      <c r="C262" t="s">
        <v>16</v>
      </c>
      <c r="D262" t="s">
        <v>25</v>
      </c>
      <c r="E262" t="s">
        <v>10</v>
      </c>
      <c r="F262">
        <v>5</v>
      </c>
      <c r="G262">
        <v>70</v>
      </c>
      <c r="H262">
        <v>3.5</v>
      </c>
      <c r="I262" t="s">
        <v>258</v>
      </c>
    </row>
    <row r="263" spans="1:9">
      <c r="A263" s="73">
        <v>43277</v>
      </c>
      <c r="B263" t="s">
        <v>24</v>
      </c>
      <c r="C263" t="s">
        <v>16</v>
      </c>
      <c r="D263" t="s">
        <v>25</v>
      </c>
      <c r="E263" t="s">
        <v>10</v>
      </c>
      <c r="F263">
        <v>1</v>
      </c>
      <c r="G263">
        <v>14</v>
      </c>
      <c r="H263" t="s">
        <v>261</v>
      </c>
      <c r="I263" t="s">
        <v>255</v>
      </c>
    </row>
    <row r="264" spans="1:9">
      <c r="A264" s="73">
        <v>43278</v>
      </c>
      <c r="B264" t="s">
        <v>13</v>
      </c>
      <c r="C264" t="s">
        <v>12</v>
      </c>
      <c r="D264" t="s">
        <v>15</v>
      </c>
      <c r="E264" t="s">
        <v>14</v>
      </c>
      <c r="F264">
        <v>3</v>
      </c>
      <c r="G264">
        <v>36</v>
      </c>
      <c r="H264" t="s">
        <v>261</v>
      </c>
      <c r="I264" t="s">
        <v>260</v>
      </c>
    </row>
    <row r="265" spans="1:9">
      <c r="A265" s="73">
        <v>43281</v>
      </c>
      <c r="B265" t="s">
        <v>22</v>
      </c>
      <c r="C265" t="s">
        <v>23</v>
      </c>
      <c r="D265" t="s">
        <v>25</v>
      </c>
      <c r="E265" t="s">
        <v>18</v>
      </c>
      <c r="F265">
        <v>1</v>
      </c>
      <c r="G265">
        <v>14</v>
      </c>
      <c r="H265" t="s">
        <v>261</v>
      </c>
      <c r="I265" t="s">
        <v>258</v>
      </c>
    </row>
    <row r="266" spans="1:9">
      <c r="A266" s="73">
        <v>43283</v>
      </c>
      <c r="B266" t="s">
        <v>24</v>
      </c>
      <c r="C266" t="s">
        <v>21</v>
      </c>
      <c r="D266" t="s">
        <v>15</v>
      </c>
      <c r="E266" t="s">
        <v>10</v>
      </c>
      <c r="F266">
        <v>4</v>
      </c>
      <c r="G266">
        <v>48</v>
      </c>
      <c r="H266" t="s">
        <v>261</v>
      </c>
      <c r="I266" t="s">
        <v>255</v>
      </c>
    </row>
    <row r="267" spans="1:9">
      <c r="A267" s="73">
        <v>43287</v>
      </c>
      <c r="B267" t="s">
        <v>17</v>
      </c>
      <c r="C267" t="s">
        <v>16</v>
      </c>
      <c r="D267" t="s">
        <v>25</v>
      </c>
      <c r="E267" t="s">
        <v>10</v>
      </c>
      <c r="F267">
        <v>6</v>
      </c>
      <c r="G267">
        <v>84</v>
      </c>
      <c r="H267">
        <v>4.2</v>
      </c>
      <c r="I267" t="s">
        <v>257</v>
      </c>
    </row>
    <row r="268" spans="1:9">
      <c r="A268" s="73">
        <v>43290</v>
      </c>
      <c r="B268" t="s">
        <v>17</v>
      </c>
      <c r="C268" t="s">
        <v>23</v>
      </c>
      <c r="D268" t="s">
        <v>11</v>
      </c>
      <c r="E268" t="s">
        <v>18</v>
      </c>
      <c r="F268">
        <v>1</v>
      </c>
      <c r="G268">
        <v>11</v>
      </c>
      <c r="H268" t="s">
        <v>261</v>
      </c>
      <c r="I268" t="s">
        <v>257</v>
      </c>
    </row>
    <row r="269" spans="1:9">
      <c r="A269" s="73">
        <v>43293</v>
      </c>
      <c r="B269" t="s">
        <v>13</v>
      </c>
      <c r="C269" t="s">
        <v>21</v>
      </c>
      <c r="D269" t="s">
        <v>25</v>
      </c>
      <c r="E269" t="s">
        <v>18</v>
      </c>
      <c r="F269">
        <v>4</v>
      </c>
      <c r="G269">
        <v>56</v>
      </c>
      <c r="H269" t="s">
        <v>261</v>
      </c>
      <c r="I269" t="s">
        <v>260</v>
      </c>
    </row>
    <row r="270" spans="1:9">
      <c r="A270" s="73">
        <v>43295</v>
      </c>
      <c r="B270" t="s">
        <v>24</v>
      </c>
      <c r="C270" t="s">
        <v>21</v>
      </c>
      <c r="D270" t="s">
        <v>11</v>
      </c>
      <c r="E270" t="s">
        <v>14</v>
      </c>
      <c r="F270">
        <v>3</v>
      </c>
      <c r="G270">
        <v>33</v>
      </c>
      <c r="H270" t="s">
        <v>261</v>
      </c>
      <c r="I270" t="s">
        <v>255</v>
      </c>
    </row>
    <row r="271" spans="1:9">
      <c r="A271" s="73">
        <v>43298</v>
      </c>
      <c r="B271" t="s">
        <v>20</v>
      </c>
      <c r="C271" t="s">
        <v>16</v>
      </c>
      <c r="D271" t="s">
        <v>11</v>
      </c>
      <c r="E271" t="s">
        <v>10</v>
      </c>
      <c r="F271">
        <v>8</v>
      </c>
      <c r="G271">
        <v>88</v>
      </c>
      <c r="H271">
        <v>4.4000000000000004</v>
      </c>
      <c r="I271" t="s">
        <v>256</v>
      </c>
    </row>
    <row r="272" spans="1:9">
      <c r="A272" s="73">
        <v>43301</v>
      </c>
      <c r="B272" t="s">
        <v>13</v>
      </c>
      <c r="C272" t="s">
        <v>21</v>
      </c>
      <c r="D272" t="s">
        <v>19</v>
      </c>
      <c r="E272" t="s">
        <v>18</v>
      </c>
      <c r="F272">
        <v>4</v>
      </c>
      <c r="G272">
        <v>52</v>
      </c>
      <c r="H272" t="s">
        <v>261</v>
      </c>
      <c r="I272" t="s">
        <v>260</v>
      </c>
    </row>
    <row r="273" spans="1:9">
      <c r="A273" s="73">
        <v>43304</v>
      </c>
      <c r="B273" t="s">
        <v>22</v>
      </c>
      <c r="C273" t="s">
        <v>16</v>
      </c>
      <c r="D273" t="s">
        <v>25</v>
      </c>
      <c r="E273" t="s">
        <v>14</v>
      </c>
      <c r="F273">
        <v>6</v>
      </c>
      <c r="G273">
        <v>84</v>
      </c>
      <c r="H273">
        <v>4.2</v>
      </c>
      <c r="I273" t="s">
        <v>258</v>
      </c>
    </row>
    <row r="274" spans="1:9">
      <c r="A274" s="73">
        <v>43305</v>
      </c>
      <c r="B274" t="s">
        <v>13</v>
      </c>
      <c r="C274" t="s">
        <v>21</v>
      </c>
      <c r="D274" t="s">
        <v>11</v>
      </c>
      <c r="E274" t="s">
        <v>10</v>
      </c>
      <c r="F274">
        <v>6</v>
      </c>
      <c r="G274">
        <v>66</v>
      </c>
      <c r="H274" t="s">
        <v>261</v>
      </c>
      <c r="I274" t="s">
        <v>260</v>
      </c>
    </row>
    <row r="275" spans="1:9">
      <c r="A275" s="73">
        <v>43308</v>
      </c>
      <c r="B275" t="s">
        <v>24</v>
      </c>
      <c r="C275" t="s">
        <v>23</v>
      </c>
      <c r="D275" t="s">
        <v>11</v>
      </c>
      <c r="E275" t="s">
        <v>10</v>
      </c>
      <c r="F275">
        <v>5</v>
      </c>
      <c r="G275">
        <v>55</v>
      </c>
      <c r="H275" t="s">
        <v>261</v>
      </c>
      <c r="I275" t="s">
        <v>255</v>
      </c>
    </row>
    <row r="276" spans="1:9">
      <c r="A276" s="73">
        <v>43312</v>
      </c>
      <c r="B276" t="s">
        <v>22</v>
      </c>
      <c r="C276" t="s">
        <v>12</v>
      </c>
      <c r="D276" t="s">
        <v>25</v>
      </c>
      <c r="E276" t="s">
        <v>18</v>
      </c>
      <c r="F276">
        <v>1</v>
      </c>
      <c r="G276">
        <v>14</v>
      </c>
      <c r="H276" t="s">
        <v>261</v>
      </c>
      <c r="I276" t="s">
        <v>258</v>
      </c>
    </row>
    <row r="277" spans="1:9">
      <c r="A277" s="73">
        <v>43315</v>
      </c>
      <c r="B277" t="s">
        <v>22</v>
      </c>
      <c r="C277" t="s">
        <v>21</v>
      </c>
      <c r="D277" t="s">
        <v>11</v>
      </c>
      <c r="E277" t="s">
        <v>10</v>
      </c>
      <c r="F277">
        <v>3</v>
      </c>
      <c r="G277">
        <v>36</v>
      </c>
      <c r="H277" t="s">
        <v>261</v>
      </c>
      <c r="I277" t="s">
        <v>258</v>
      </c>
    </row>
    <row r="278" spans="1:9">
      <c r="A278" s="73">
        <v>43317</v>
      </c>
      <c r="B278" t="s">
        <v>24</v>
      </c>
      <c r="C278" t="s">
        <v>12</v>
      </c>
      <c r="D278" t="s">
        <v>25</v>
      </c>
      <c r="E278" t="s">
        <v>14</v>
      </c>
      <c r="F278">
        <v>3</v>
      </c>
      <c r="G278">
        <v>45</v>
      </c>
      <c r="H278" t="s">
        <v>261</v>
      </c>
      <c r="I278" t="s">
        <v>255</v>
      </c>
    </row>
    <row r="279" spans="1:9">
      <c r="A279" s="73">
        <v>43320</v>
      </c>
      <c r="B279" t="s">
        <v>20</v>
      </c>
      <c r="C279" t="s">
        <v>23</v>
      </c>
      <c r="D279" t="s">
        <v>25</v>
      </c>
      <c r="E279" t="s">
        <v>18</v>
      </c>
      <c r="F279">
        <v>3</v>
      </c>
      <c r="G279">
        <v>45</v>
      </c>
      <c r="H279" t="s">
        <v>261</v>
      </c>
      <c r="I279" t="s">
        <v>256</v>
      </c>
    </row>
    <row r="280" spans="1:9">
      <c r="A280" s="73">
        <v>43322</v>
      </c>
      <c r="B280" t="s">
        <v>20</v>
      </c>
      <c r="C280" t="s">
        <v>16</v>
      </c>
      <c r="D280" t="s">
        <v>11</v>
      </c>
      <c r="E280" t="s">
        <v>14</v>
      </c>
      <c r="F280">
        <v>5</v>
      </c>
      <c r="G280">
        <v>60</v>
      </c>
      <c r="H280" t="s">
        <v>261</v>
      </c>
      <c r="I280" t="s">
        <v>256</v>
      </c>
    </row>
    <row r="281" spans="1:9">
      <c r="A281" s="73">
        <v>43325</v>
      </c>
      <c r="B281" t="s">
        <v>17</v>
      </c>
      <c r="C281" t="s">
        <v>12</v>
      </c>
      <c r="D281" t="s">
        <v>11</v>
      </c>
      <c r="E281" t="s">
        <v>10</v>
      </c>
      <c r="F281">
        <v>2</v>
      </c>
      <c r="G281">
        <v>24</v>
      </c>
      <c r="H281" t="s">
        <v>261</v>
      </c>
      <c r="I281" t="s">
        <v>257</v>
      </c>
    </row>
    <row r="282" spans="1:9">
      <c r="A282" s="73">
        <v>43327</v>
      </c>
      <c r="B282" t="s">
        <v>17</v>
      </c>
      <c r="C282" t="s">
        <v>12</v>
      </c>
      <c r="D282" t="s">
        <v>11</v>
      </c>
      <c r="E282" t="s">
        <v>14</v>
      </c>
      <c r="F282">
        <v>3</v>
      </c>
      <c r="G282">
        <v>36</v>
      </c>
      <c r="H282" t="s">
        <v>261</v>
      </c>
      <c r="I282" t="s">
        <v>257</v>
      </c>
    </row>
    <row r="283" spans="1:9">
      <c r="A283" s="73">
        <v>43330</v>
      </c>
      <c r="B283" t="s">
        <v>24</v>
      </c>
      <c r="C283" t="s">
        <v>21</v>
      </c>
      <c r="D283" t="s">
        <v>15</v>
      </c>
      <c r="E283" t="s">
        <v>10</v>
      </c>
      <c r="F283">
        <v>6</v>
      </c>
      <c r="G283">
        <v>78</v>
      </c>
      <c r="H283">
        <v>3.9</v>
      </c>
      <c r="I283" t="s">
        <v>255</v>
      </c>
    </row>
    <row r="284" spans="1:9">
      <c r="A284" s="73">
        <v>43332</v>
      </c>
      <c r="B284" t="s">
        <v>22</v>
      </c>
      <c r="C284" t="s">
        <v>21</v>
      </c>
      <c r="D284" t="s">
        <v>15</v>
      </c>
      <c r="E284" t="s">
        <v>14</v>
      </c>
      <c r="F284">
        <v>7</v>
      </c>
      <c r="G284">
        <v>91</v>
      </c>
      <c r="H284">
        <v>4.55</v>
      </c>
      <c r="I284" t="s">
        <v>258</v>
      </c>
    </row>
    <row r="285" spans="1:9">
      <c r="A285" s="73">
        <v>43333</v>
      </c>
      <c r="B285" t="s">
        <v>20</v>
      </c>
      <c r="C285" t="s">
        <v>21</v>
      </c>
      <c r="D285" t="s">
        <v>25</v>
      </c>
      <c r="E285" t="s">
        <v>10</v>
      </c>
      <c r="F285">
        <v>2</v>
      </c>
      <c r="G285">
        <v>30</v>
      </c>
      <c r="H285" t="s">
        <v>261</v>
      </c>
      <c r="I285" t="s">
        <v>256</v>
      </c>
    </row>
    <row r="286" spans="1:9">
      <c r="A286" s="73">
        <v>43336</v>
      </c>
      <c r="B286" t="s">
        <v>17</v>
      </c>
      <c r="C286" t="s">
        <v>12</v>
      </c>
      <c r="D286" t="s">
        <v>25</v>
      </c>
      <c r="E286" t="s">
        <v>14</v>
      </c>
      <c r="F286">
        <v>7</v>
      </c>
      <c r="G286">
        <v>105</v>
      </c>
      <c r="H286">
        <v>5.25</v>
      </c>
      <c r="I286" t="s">
        <v>257</v>
      </c>
    </row>
    <row r="287" spans="1:9">
      <c r="A287" s="73">
        <v>43339</v>
      </c>
      <c r="B287" t="s">
        <v>13</v>
      </c>
      <c r="C287" t="s">
        <v>12</v>
      </c>
      <c r="D287" t="s">
        <v>25</v>
      </c>
      <c r="E287" t="s">
        <v>18</v>
      </c>
      <c r="F287">
        <v>7</v>
      </c>
      <c r="G287">
        <v>105</v>
      </c>
      <c r="H287">
        <v>5.25</v>
      </c>
      <c r="I287" t="s">
        <v>260</v>
      </c>
    </row>
    <row r="288" spans="1:9">
      <c r="A288" s="73">
        <v>43342</v>
      </c>
      <c r="B288" t="s">
        <v>20</v>
      </c>
      <c r="C288" t="s">
        <v>21</v>
      </c>
      <c r="D288" t="s">
        <v>11</v>
      </c>
      <c r="E288" t="s">
        <v>10</v>
      </c>
      <c r="F288">
        <v>1</v>
      </c>
      <c r="G288">
        <v>12</v>
      </c>
      <c r="H288" t="s">
        <v>261</v>
      </c>
      <c r="I288" t="s">
        <v>256</v>
      </c>
    </row>
    <row r="289" spans="1:9">
      <c r="A289" s="73">
        <v>43345</v>
      </c>
      <c r="B289" t="s">
        <v>17</v>
      </c>
      <c r="C289" t="s">
        <v>16</v>
      </c>
      <c r="D289" t="s">
        <v>11</v>
      </c>
      <c r="E289" t="s">
        <v>10</v>
      </c>
      <c r="F289">
        <v>7</v>
      </c>
      <c r="G289">
        <v>84</v>
      </c>
      <c r="H289">
        <v>4.2</v>
      </c>
      <c r="I289" t="s">
        <v>257</v>
      </c>
    </row>
    <row r="290" spans="1:9">
      <c r="A290" s="73">
        <v>43349</v>
      </c>
      <c r="B290" t="s">
        <v>13</v>
      </c>
      <c r="C290" t="s">
        <v>21</v>
      </c>
      <c r="D290" t="s">
        <v>15</v>
      </c>
      <c r="E290" t="s">
        <v>14</v>
      </c>
      <c r="F290">
        <v>4</v>
      </c>
      <c r="G290">
        <v>52</v>
      </c>
      <c r="H290" t="s">
        <v>261</v>
      </c>
      <c r="I290" t="s">
        <v>260</v>
      </c>
    </row>
    <row r="291" spans="1:9">
      <c r="A291" s="73">
        <v>43350</v>
      </c>
      <c r="B291" t="s">
        <v>13</v>
      </c>
      <c r="C291" t="s">
        <v>21</v>
      </c>
      <c r="D291" t="s">
        <v>25</v>
      </c>
      <c r="E291" t="s">
        <v>10</v>
      </c>
      <c r="F291">
        <v>7</v>
      </c>
      <c r="G291">
        <v>105</v>
      </c>
      <c r="H291">
        <v>5.25</v>
      </c>
      <c r="I291" t="s">
        <v>260</v>
      </c>
    </row>
    <row r="292" spans="1:9">
      <c r="A292" s="73">
        <v>43353</v>
      </c>
      <c r="B292" t="s">
        <v>22</v>
      </c>
      <c r="C292" t="s">
        <v>23</v>
      </c>
      <c r="D292" t="s">
        <v>11</v>
      </c>
      <c r="E292" t="s">
        <v>10</v>
      </c>
      <c r="F292">
        <v>7</v>
      </c>
      <c r="G292">
        <v>84</v>
      </c>
      <c r="H292">
        <v>4.2</v>
      </c>
      <c r="I292" t="s">
        <v>258</v>
      </c>
    </row>
    <row r="293" spans="1:9">
      <c r="A293" s="73">
        <v>43356</v>
      </c>
      <c r="B293" t="s">
        <v>20</v>
      </c>
      <c r="C293" t="s">
        <v>12</v>
      </c>
      <c r="D293" t="s">
        <v>11</v>
      </c>
      <c r="E293" t="s">
        <v>18</v>
      </c>
      <c r="F293">
        <v>4</v>
      </c>
      <c r="G293">
        <v>48</v>
      </c>
      <c r="H293" t="s">
        <v>261</v>
      </c>
      <c r="I293" t="s">
        <v>256</v>
      </c>
    </row>
    <row r="294" spans="1:9">
      <c r="A294" s="73">
        <v>43357</v>
      </c>
      <c r="B294" t="s">
        <v>20</v>
      </c>
      <c r="C294" t="s">
        <v>21</v>
      </c>
      <c r="D294" t="s">
        <v>15</v>
      </c>
      <c r="E294" t="s">
        <v>10</v>
      </c>
      <c r="F294">
        <v>8</v>
      </c>
      <c r="G294">
        <v>104</v>
      </c>
      <c r="H294">
        <v>5.2</v>
      </c>
      <c r="I294" t="s">
        <v>256</v>
      </c>
    </row>
    <row r="295" spans="1:9">
      <c r="A295" s="73">
        <v>43360</v>
      </c>
      <c r="B295" t="s">
        <v>24</v>
      </c>
      <c r="C295" t="s">
        <v>16</v>
      </c>
      <c r="D295" t="s">
        <v>25</v>
      </c>
      <c r="E295" t="s">
        <v>14</v>
      </c>
      <c r="F295">
        <v>8</v>
      </c>
      <c r="G295">
        <v>120</v>
      </c>
      <c r="H295">
        <v>6</v>
      </c>
      <c r="I295" t="s">
        <v>255</v>
      </c>
    </row>
    <row r="296" spans="1:9">
      <c r="A296" s="73">
        <v>43364</v>
      </c>
      <c r="B296" t="s">
        <v>24</v>
      </c>
      <c r="C296" t="s">
        <v>21</v>
      </c>
      <c r="D296" t="s">
        <v>11</v>
      </c>
      <c r="E296" t="s">
        <v>10</v>
      </c>
      <c r="F296">
        <v>5</v>
      </c>
      <c r="G296">
        <v>60</v>
      </c>
      <c r="H296" t="s">
        <v>261</v>
      </c>
      <c r="I296" t="s">
        <v>255</v>
      </c>
    </row>
    <row r="297" spans="1:9">
      <c r="A297" s="73">
        <v>43368</v>
      </c>
      <c r="B297" t="s">
        <v>13</v>
      </c>
      <c r="C297" t="s">
        <v>16</v>
      </c>
      <c r="D297" t="s">
        <v>25</v>
      </c>
      <c r="E297" t="s">
        <v>14</v>
      </c>
      <c r="F297">
        <v>3</v>
      </c>
      <c r="G297">
        <v>45</v>
      </c>
      <c r="H297" t="s">
        <v>261</v>
      </c>
      <c r="I297" t="s">
        <v>260</v>
      </c>
    </row>
    <row r="298" spans="1:9">
      <c r="A298" s="73">
        <v>43372</v>
      </c>
      <c r="B298" t="s">
        <v>20</v>
      </c>
      <c r="C298" t="s">
        <v>12</v>
      </c>
      <c r="D298" t="s">
        <v>19</v>
      </c>
      <c r="E298" t="s">
        <v>10</v>
      </c>
      <c r="F298">
        <v>2</v>
      </c>
      <c r="G298">
        <v>28</v>
      </c>
      <c r="H298" t="s">
        <v>261</v>
      </c>
      <c r="I298" t="s">
        <v>256</v>
      </c>
    </row>
    <row r="299" spans="1:9">
      <c r="A299" s="73">
        <v>43376</v>
      </c>
      <c r="B299" t="s">
        <v>22</v>
      </c>
      <c r="C299" t="s">
        <v>21</v>
      </c>
      <c r="D299" t="s">
        <v>25</v>
      </c>
      <c r="E299" t="s">
        <v>18</v>
      </c>
      <c r="F299">
        <v>5</v>
      </c>
      <c r="G299">
        <v>75</v>
      </c>
      <c r="H299">
        <v>3.75</v>
      </c>
      <c r="I299" t="s">
        <v>258</v>
      </c>
    </row>
    <row r="300" spans="1:9">
      <c r="A300" s="73">
        <v>43378</v>
      </c>
      <c r="B300" t="s">
        <v>24</v>
      </c>
      <c r="C300" t="s">
        <v>12</v>
      </c>
      <c r="D300" t="s">
        <v>11</v>
      </c>
      <c r="E300" t="s">
        <v>10</v>
      </c>
      <c r="F300">
        <v>5</v>
      </c>
      <c r="G300">
        <v>60</v>
      </c>
      <c r="H300" t="s">
        <v>261</v>
      </c>
      <c r="I300" t="s">
        <v>255</v>
      </c>
    </row>
    <row r="301" spans="1:9">
      <c r="A301" s="73">
        <v>43380</v>
      </c>
      <c r="B301" t="s">
        <v>13</v>
      </c>
      <c r="C301" t="s">
        <v>21</v>
      </c>
      <c r="D301" t="s">
        <v>19</v>
      </c>
      <c r="E301" t="s">
        <v>18</v>
      </c>
      <c r="F301">
        <v>7</v>
      </c>
      <c r="G301">
        <v>98</v>
      </c>
      <c r="H301">
        <v>4.9000000000000004</v>
      </c>
      <c r="I301" t="s">
        <v>260</v>
      </c>
    </row>
    <row r="302" spans="1:9">
      <c r="A302" s="73">
        <v>43384</v>
      </c>
      <c r="B302" t="s">
        <v>17</v>
      </c>
      <c r="C302" t="s">
        <v>21</v>
      </c>
      <c r="D302" t="s">
        <v>11</v>
      </c>
      <c r="E302" t="s">
        <v>10</v>
      </c>
      <c r="F302">
        <v>8</v>
      </c>
      <c r="G302">
        <v>96</v>
      </c>
      <c r="H302">
        <v>4.8</v>
      </c>
      <c r="I302" t="s">
        <v>257</v>
      </c>
    </row>
    <row r="303" spans="1:9">
      <c r="A303" s="73">
        <v>43386</v>
      </c>
      <c r="B303" t="s">
        <v>22</v>
      </c>
      <c r="C303" t="s">
        <v>16</v>
      </c>
      <c r="D303" t="s">
        <v>15</v>
      </c>
      <c r="E303" t="s">
        <v>18</v>
      </c>
      <c r="F303">
        <v>1</v>
      </c>
      <c r="G303">
        <v>13</v>
      </c>
      <c r="H303" t="s">
        <v>261</v>
      </c>
      <c r="I303" t="s">
        <v>258</v>
      </c>
    </row>
    <row r="304" spans="1:9">
      <c r="A304" s="73">
        <v>43389</v>
      </c>
      <c r="B304" t="s">
        <v>13</v>
      </c>
      <c r="C304" t="s">
        <v>12</v>
      </c>
      <c r="D304" t="s">
        <v>19</v>
      </c>
      <c r="E304" t="s">
        <v>14</v>
      </c>
      <c r="F304">
        <v>5</v>
      </c>
      <c r="G304">
        <v>70</v>
      </c>
      <c r="H304">
        <v>3.5</v>
      </c>
      <c r="I304" t="s">
        <v>260</v>
      </c>
    </row>
    <row r="305" spans="1:9">
      <c r="A305" s="73">
        <v>43392</v>
      </c>
      <c r="B305" t="s">
        <v>22</v>
      </c>
      <c r="C305" t="s">
        <v>21</v>
      </c>
      <c r="D305" t="s">
        <v>25</v>
      </c>
      <c r="E305" t="s">
        <v>14</v>
      </c>
      <c r="F305">
        <v>7</v>
      </c>
      <c r="G305">
        <v>105</v>
      </c>
      <c r="H305">
        <v>5.25</v>
      </c>
      <c r="I305" t="s">
        <v>258</v>
      </c>
    </row>
    <row r="306" spans="1:9">
      <c r="A306" s="73">
        <v>43394</v>
      </c>
      <c r="B306" t="s">
        <v>24</v>
      </c>
      <c r="C306" t="s">
        <v>21</v>
      </c>
      <c r="D306" t="s">
        <v>25</v>
      </c>
      <c r="E306" t="s">
        <v>18</v>
      </c>
      <c r="F306">
        <v>7</v>
      </c>
      <c r="G306">
        <v>105</v>
      </c>
      <c r="H306">
        <v>5.25</v>
      </c>
      <c r="I306" t="s">
        <v>255</v>
      </c>
    </row>
    <row r="307" spans="1:9">
      <c r="A307" s="73">
        <v>43395</v>
      </c>
      <c r="B307" t="s">
        <v>17</v>
      </c>
      <c r="C307" t="s">
        <v>21</v>
      </c>
      <c r="D307" t="s">
        <v>15</v>
      </c>
      <c r="E307" t="s">
        <v>10</v>
      </c>
      <c r="F307">
        <v>4</v>
      </c>
      <c r="G307">
        <v>52</v>
      </c>
      <c r="H307" t="s">
        <v>261</v>
      </c>
      <c r="I307" t="s">
        <v>257</v>
      </c>
    </row>
    <row r="308" spans="1:9">
      <c r="A308" s="73">
        <v>43397</v>
      </c>
      <c r="B308" t="s">
        <v>20</v>
      </c>
      <c r="C308" t="s">
        <v>23</v>
      </c>
      <c r="D308" t="s">
        <v>25</v>
      </c>
      <c r="E308" t="s">
        <v>14</v>
      </c>
      <c r="F308">
        <v>3</v>
      </c>
      <c r="G308">
        <v>45</v>
      </c>
      <c r="H308" t="s">
        <v>261</v>
      </c>
      <c r="I308" t="s">
        <v>256</v>
      </c>
    </row>
    <row r="309" spans="1:9">
      <c r="A309" s="73">
        <v>43398</v>
      </c>
      <c r="B309" t="s">
        <v>24</v>
      </c>
      <c r="C309" t="s">
        <v>12</v>
      </c>
      <c r="D309" t="s">
        <v>15</v>
      </c>
      <c r="E309" t="s">
        <v>10</v>
      </c>
      <c r="F309">
        <v>1</v>
      </c>
      <c r="G309">
        <v>13</v>
      </c>
      <c r="H309" t="s">
        <v>261</v>
      </c>
      <c r="I309" t="s">
        <v>255</v>
      </c>
    </row>
    <row r="310" spans="1:9">
      <c r="A310" s="73">
        <v>43399</v>
      </c>
      <c r="B310" t="s">
        <v>24</v>
      </c>
      <c r="C310" t="s">
        <v>16</v>
      </c>
      <c r="D310" t="s">
        <v>19</v>
      </c>
      <c r="E310" t="s">
        <v>18</v>
      </c>
      <c r="F310">
        <v>5</v>
      </c>
      <c r="G310">
        <v>70</v>
      </c>
      <c r="H310">
        <v>3.5</v>
      </c>
      <c r="I310" t="s">
        <v>255</v>
      </c>
    </row>
    <row r="311" spans="1:9">
      <c r="A311" s="73">
        <v>43401</v>
      </c>
      <c r="B311" t="s">
        <v>13</v>
      </c>
      <c r="C311" t="s">
        <v>23</v>
      </c>
      <c r="D311" t="s">
        <v>15</v>
      </c>
      <c r="E311" t="s">
        <v>10</v>
      </c>
      <c r="F311">
        <v>1</v>
      </c>
      <c r="G311">
        <v>13</v>
      </c>
      <c r="H311" t="s">
        <v>261</v>
      </c>
      <c r="I311" t="s">
        <v>260</v>
      </c>
    </row>
    <row r="312" spans="1:9">
      <c r="A312" s="73">
        <v>43403</v>
      </c>
      <c r="B312" t="s">
        <v>20</v>
      </c>
      <c r="C312" t="s">
        <v>21</v>
      </c>
      <c r="D312" t="s">
        <v>11</v>
      </c>
      <c r="E312" t="s">
        <v>10</v>
      </c>
      <c r="F312">
        <v>5</v>
      </c>
      <c r="G312">
        <v>60</v>
      </c>
      <c r="H312" t="s">
        <v>261</v>
      </c>
      <c r="I312" t="s">
        <v>256</v>
      </c>
    </row>
    <row r="313" spans="1:9">
      <c r="A313" s="73">
        <v>43405</v>
      </c>
      <c r="B313" t="s">
        <v>22</v>
      </c>
      <c r="C313" t="s">
        <v>16</v>
      </c>
      <c r="D313" t="s">
        <v>15</v>
      </c>
      <c r="E313" t="s">
        <v>18</v>
      </c>
      <c r="F313">
        <v>5</v>
      </c>
      <c r="G313">
        <v>65</v>
      </c>
      <c r="H313" t="s">
        <v>261</v>
      </c>
      <c r="I313" t="s">
        <v>258</v>
      </c>
    </row>
    <row r="314" spans="1:9">
      <c r="A314" s="73">
        <v>43407</v>
      </c>
      <c r="B314" t="s">
        <v>24</v>
      </c>
      <c r="C314" t="s">
        <v>12</v>
      </c>
      <c r="D314" t="s">
        <v>15</v>
      </c>
      <c r="E314" t="s">
        <v>14</v>
      </c>
      <c r="F314">
        <v>2</v>
      </c>
      <c r="G314">
        <v>26</v>
      </c>
      <c r="H314" t="s">
        <v>261</v>
      </c>
      <c r="I314" t="s">
        <v>255</v>
      </c>
    </row>
    <row r="315" spans="1:9">
      <c r="A315" s="73">
        <v>43410</v>
      </c>
      <c r="B315" t="s">
        <v>13</v>
      </c>
      <c r="C315" t="s">
        <v>12</v>
      </c>
      <c r="D315" t="s">
        <v>19</v>
      </c>
      <c r="E315" t="s">
        <v>14</v>
      </c>
      <c r="F315">
        <v>7</v>
      </c>
      <c r="G315">
        <v>98</v>
      </c>
      <c r="H315">
        <v>4.9000000000000004</v>
      </c>
      <c r="I315" t="s">
        <v>260</v>
      </c>
    </row>
    <row r="316" spans="1:9">
      <c r="A316" s="73">
        <v>43411</v>
      </c>
      <c r="B316" t="s">
        <v>22</v>
      </c>
      <c r="C316" t="s">
        <v>21</v>
      </c>
      <c r="D316" t="s">
        <v>25</v>
      </c>
      <c r="E316" t="s">
        <v>14</v>
      </c>
      <c r="F316">
        <v>8</v>
      </c>
      <c r="G316">
        <v>120</v>
      </c>
      <c r="H316">
        <v>6</v>
      </c>
      <c r="I316" t="s">
        <v>258</v>
      </c>
    </row>
    <row r="317" spans="1:9">
      <c r="A317" s="73">
        <v>43414</v>
      </c>
      <c r="B317" t="s">
        <v>17</v>
      </c>
      <c r="C317" t="s">
        <v>12</v>
      </c>
      <c r="D317" t="s">
        <v>25</v>
      </c>
      <c r="E317" t="s">
        <v>10</v>
      </c>
      <c r="F317">
        <v>4</v>
      </c>
      <c r="G317">
        <v>60</v>
      </c>
      <c r="H317" t="s">
        <v>261</v>
      </c>
      <c r="I317" t="s">
        <v>257</v>
      </c>
    </row>
    <row r="318" spans="1:9">
      <c r="A318" s="73">
        <v>43415</v>
      </c>
      <c r="B318" t="s">
        <v>20</v>
      </c>
      <c r="C318" t="s">
        <v>21</v>
      </c>
      <c r="D318" t="s">
        <v>25</v>
      </c>
      <c r="E318" t="s">
        <v>10</v>
      </c>
      <c r="F318">
        <v>4</v>
      </c>
      <c r="G318">
        <v>60</v>
      </c>
      <c r="H318" t="s">
        <v>261</v>
      </c>
      <c r="I318" t="s">
        <v>256</v>
      </c>
    </row>
    <row r="319" spans="1:9">
      <c r="A319" s="73">
        <v>43417</v>
      </c>
      <c r="B319" t="s">
        <v>20</v>
      </c>
      <c r="C319" t="s">
        <v>16</v>
      </c>
      <c r="D319" t="s">
        <v>25</v>
      </c>
      <c r="E319" t="s">
        <v>10</v>
      </c>
      <c r="F319">
        <v>7</v>
      </c>
      <c r="G319">
        <v>105</v>
      </c>
      <c r="H319">
        <v>5.25</v>
      </c>
      <c r="I319" t="s">
        <v>256</v>
      </c>
    </row>
    <row r="320" spans="1:9">
      <c r="A320" s="73">
        <v>43419</v>
      </c>
      <c r="B320" t="s">
        <v>13</v>
      </c>
      <c r="C320" t="s">
        <v>21</v>
      </c>
      <c r="D320" t="s">
        <v>11</v>
      </c>
      <c r="E320" t="s">
        <v>10</v>
      </c>
      <c r="F320">
        <v>2</v>
      </c>
      <c r="G320">
        <v>24</v>
      </c>
      <c r="H320" t="s">
        <v>261</v>
      </c>
      <c r="I320" t="s">
        <v>260</v>
      </c>
    </row>
    <row r="321" spans="1:9">
      <c r="A321" s="73">
        <v>43422</v>
      </c>
      <c r="B321" t="s">
        <v>24</v>
      </c>
      <c r="C321" t="s">
        <v>12</v>
      </c>
      <c r="D321" t="s">
        <v>15</v>
      </c>
      <c r="E321" t="s">
        <v>10</v>
      </c>
      <c r="F321">
        <v>3</v>
      </c>
      <c r="G321">
        <v>39</v>
      </c>
      <c r="H321" t="s">
        <v>261</v>
      </c>
      <c r="I321" t="s">
        <v>255</v>
      </c>
    </row>
    <row r="322" spans="1:9">
      <c r="A322" s="73">
        <v>43425</v>
      </c>
      <c r="B322" t="s">
        <v>22</v>
      </c>
      <c r="C322" t="s">
        <v>12</v>
      </c>
      <c r="D322" t="s">
        <v>15</v>
      </c>
      <c r="E322" t="s">
        <v>14</v>
      </c>
      <c r="F322">
        <v>5</v>
      </c>
      <c r="G322">
        <v>65</v>
      </c>
      <c r="H322" t="s">
        <v>261</v>
      </c>
      <c r="I322" t="s">
        <v>258</v>
      </c>
    </row>
    <row r="323" spans="1:9">
      <c r="A323" s="73">
        <v>43427</v>
      </c>
      <c r="B323" t="s">
        <v>20</v>
      </c>
      <c r="C323" t="s">
        <v>16</v>
      </c>
      <c r="D323" t="s">
        <v>11</v>
      </c>
      <c r="E323" t="s">
        <v>18</v>
      </c>
      <c r="F323">
        <v>1</v>
      </c>
      <c r="G323">
        <v>12</v>
      </c>
      <c r="H323" t="s">
        <v>261</v>
      </c>
      <c r="I323" t="s">
        <v>256</v>
      </c>
    </row>
    <row r="324" spans="1:9">
      <c r="A324" s="73">
        <v>43429</v>
      </c>
      <c r="B324" t="s">
        <v>13</v>
      </c>
      <c r="C324" t="s">
        <v>21</v>
      </c>
      <c r="D324" t="s">
        <v>11</v>
      </c>
      <c r="E324" t="s">
        <v>10</v>
      </c>
      <c r="F324">
        <v>4</v>
      </c>
      <c r="G324">
        <v>48</v>
      </c>
      <c r="H324" t="s">
        <v>261</v>
      </c>
      <c r="I324" t="s">
        <v>260</v>
      </c>
    </row>
    <row r="325" spans="1:9">
      <c r="A325" s="73">
        <v>43432</v>
      </c>
      <c r="B325" t="s">
        <v>24</v>
      </c>
      <c r="C325" t="s">
        <v>21</v>
      </c>
      <c r="D325" t="s">
        <v>11</v>
      </c>
      <c r="E325" t="s">
        <v>18</v>
      </c>
      <c r="F325">
        <v>7</v>
      </c>
      <c r="G325">
        <v>84</v>
      </c>
      <c r="H325">
        <v>4.2</v>
      </c>
      <c r="I325" t="s">
        <v>255</v>
      </c>
    </row>
    <row r="326" spans="1:9">
      <c r="A326" s="73">
        <v>43435</v>
      </c>
      <c r="B326" t="s">
        <v>17</v>
      </c>
      <c r="C326" t="s">
        <v>21</v>
      </c>
      <c r="D326" t="s">
        <v>11</v>
      </c>
      <c r="E326" t="s">
        <v>10</v>
      </c>
      <c r="F326">
        <v>7</v>
      </c>
      <c r="G326">
        <v>84</v>
      </c>
      <c r="H326">
        <v>4.2</v>
      </c>
      <c r="I326" t="s">
        <v>257</v>
      </c>
    </row>
    <row r="327" spans="1:9">
      <c r="A327" s="73">
        <v>43436</v>
      </c>
      <c r="B327" t="s">
        <v>20</v>
      </c>
      <c r="C327" t="s">
        <v>23</v>
      </c>
      <c r="D327" t="s">
        <v>25</v>
      </c>
      <c r="E327" t="s">
        <v>14</v>
      </c>
      <c r="F327">
        <v>3</v>
      </c>
      <c r="G327">
        <v>45</v>
      </c>
      <c r="H327" t="s">
        <v>261</v>
      </c>
      <c r="I327" t="s">
        <v>256</v>
      </c>
    </row>
    <row r="328" spans="1:9">
      <c r="A328" s="73">
        <v>43437</v>
      </c>
      <c r="B328" t="s">
        <v>13</v>
      </c>
      <c r="C328" t="s">
        <v>12</v>
      </c>
      <c r="D328" t="s">
        <v>19</v>
      </c>
      <c r="E328" t="s">
        <v>10</v>
      </c>
      <c r="F328">
        <v>4</v>
      </c>
      <c r="G328">
        <v>56</v>
      </c>
      <c r="H328" t="s">
        <v>261</v>
      </c>
      <c r="I328" t="s">
        <v>260</v>
      </c>
    </row>
    <row r="329" spans="1:9">
      <c r="A329" s="73">
        <v>43439</v>
      </c>
      <c r="B329" t="s">
        <v>13</v>
      </c>
      <c r="C329" t="s">
        <v>12</v>
      </c>
      <c r="D329" t="s">
        <v>19</v>
      </c>
      <c r="E329" t="s">
        <v>18</v>
      </c>
      <c r="F329">
        <v>7</v>
      </c>
      <c r="G329">
        <v>98</v>
      </c>
      <c r="H329">
        <v>4.9000000000000004</v>
      </c>
      <c r="I329" t="s">
        <v>260</v>
      </c>
    </row>
    <row r="330" spans="1:9">
      <c r="A330" s="73">
        <v>43440</v>
      </c>
      <c r="B330" t="s">
        <v>20</v>
      </c>
      <c r="C330" t="s">
        <v>12</v>
      </c>
      <c r="D330" t="s">
        <v>25</v>
      </c>
      <c r="E330" t="s">
        <v>14</v>
      </c>
      <c r="F330">
        <v>5</v>
      </c>
      <c r="G330">
        <v>75</v>
      </c>
      <c r="H330">
        <v>3.75</v>
      </c>
      <c r="I330" t="s">
        <v>256</v>
      </c>
    </row>
    <row r="331" spans="1:9">
      <c r="A331" s="73">
        <v>43442</v>
      </c>
      <c r="B331" t="s">
        <v>22</v>
      </c>
      <c r="C331" t="s">
        <v>12</v>
      </c>
      <c r="D331" t="s">
        <v>11</v>
      </c>
      <c r="E331" t="s">
        <v>18</v>
      </c>
      <c r="F331">
        <v>3</v>
      </c>
      <c r="G331">
        <v>36</v>
      </c>
      <c r="H331" t="s">
        <v>261</v>
      </c>
      <c r="I331" t="s">
        <v>258</v>
      </c>
    </row>
    <row r="332" spans="1:9">
      <c r="A332" s="73">
        <v>43444</v>
      </c>
      <c r="B332" t="s">
        <v>24</v>
      </c>
      <c r="C332" t="s">
        <v>16</v>
      </c>
      <c r="D332" t="s">
        <v>11</v>
      </c>
      <c r="E332" t="s">
        <v>18</v>
      </c>
      <c r="F332">
        <v>5</v>
      </c>
      <c r="G332">
        <v>60</v>
      </c>
      <c r="H332" t="s">
        <v>261</v>
      </c>
      <c r="I332" t="s">
        <v>255</v>
      </c>
    </row>
    <row r="333" spans="1:9">
      <c r="A333" s="73">
        <v>43445</v>
      </c>
      <c r="B333" t="s">
        <v>13</v>
      </c>
      <c r="C333" t="s">
        <v>16</v>
      </c>
      <c r="D333" t="s">
        <v>25</v>
      </c>
      <c r="E333" t="s">
        <v>14</v>
      </c>
      <c r="F333">
        <v>5</v>
      </c>
      <c r="G333">
        <v>75</v>
      </c>
      <c r="H333">
        <v>3.75</v>
      </c>
      <c r="I333" t="s">
        <v>260</v>
      </c>
    </row>
    <row r="334" spans="1:9">
      <c r="A334" s="73">
        <v>43446</v>
      </c>
      <c r="B334" t="s">
        <v>17</v>
      </c>
      <c r="C334" t="s">
        <v>21</v>
      </c>
      <c r="D334" t="s">
        <v>25</v>
      </c>
      <c r="E334" t="s">
        <v>10</v>
      </c>
      <c r="F334">
        <v>7</v>
      </c>
      <c r="G334">
        <v>105</v>
      </c>
      <c r="H334">
        <v>5.25</v>
      </c>
      <c r="I334" t="s">
        <v>257</v>
      </c>
    </row>
    <row r="335" spans="1:9">
      <c r="A335" s="73">
        <v>43448</v>
      </c>
      <c r="B335" t="s">
        <v>13</v>
      </c>
      <c r="C335" t="s">
        <v>21</v>
      </c>
      <c r="D335" t="s">
        <v>25</v>
      </c>
      <c r="E335" t="s">
        <v>18</v>
      </c>
      <c r="F335">
        <v>8</v>
      </c>
      <c r="G335">
        <v>120</v>
      </c>
      <c r="H335">
        <v>6</v>
      </c>
      <c r="I335" t="s">
        <v>260</v>
      </c>
    </row>
    <row r="336" spans="1:9">
      <c r="A336" s="73">
        <v>43450</v>
      </c>
      <c r="B336" t="s">
        <v>22</v>
      </c>
      <c r="C336" t="s">
        <v>21</v>
      </c>
      <c r="D336" t="s">
        <v>11</v>
      </c>
      <c r="E336" t="s">
        <v>10</v>
      </c>
      <c r="F336">
        <v>4</v>
      </c>
      <c r="G336">
        <v>48</v>
      </c>
      <c r="H336" t="s">
        <v>261</v>
      </c>
      <c r="I336" t="s">
        <v>258</v>
      </c>
    </row>
    <row r="337" spans="1:9">
      <c r="A337" s="73">
        <v>43452</v>
      </c>
      <c r="B337" t="s">
        <v>20</v>
      </c>
      <c r="C337" t="s">
        <v>12</v>
      </c>
      <c r="D337" t="s">
        <v>11</v>
      </c>
      <c r="E337" t="s">
        <v>14</v>
      </c>
      <c r="F337">
        <v>6</v>
      </c>
      <c r="G337">
        <v>72</v>
      </c>
      <c r="H337">
        <v>3.6</v>
      </c>
      <c r="I337" t="s">
        <v>256</v>
      </c>
    </row>
    <row r="338" spans="1:9">
      <c r="A338" s="73">
        <v>43453</v>
      </c>
      <c r="B338" t="s">
        <v>17</v>
      </c>
      <c r="C338" t="s">
        <v>21</v>
      </c>
      <c r="D338" t="s">
        <v>25</v>
      </c>
      <c r="E338" t="s">
        <v>18</v>
      </c>
      <c r="F338">
        <v>3</v>
      </c>
      <c r="G338">
        <v>45</v>
      </c>
      <c r="H338" t="s">
        <v>261</v>
      </c>
      <c r="I338" t="s">
        <v>257</v>
      </c>
    </row>
    <row r="339" spans="1:9">
      <c r="A339" s="73">
        <v>43454</v>
      </c>
      <c r="B339" t="s">
        <v>24</v>
      </c>
      <c r="C339" t="s">
        <v>12</v>
      </c>
      <c r="D339" t="s">
        <v>15</v>
      </c>
      <c r="E339" t="s">
        <v>14</v>
      </c>
      <c r="F339">
        <v>4</v>
      </c>
      <c r="G339">
        <v>52</v>
      </c>
      <c r="H339" t="s">
        <v>261</v>
      </c>
      <c r="I339" t="s">
        <v>255</v>
      </c>
    </row>
    <row r="340" spans="1:9">
      <c r="A340" s="73">
        <v>43455</v>
      </c>
      <c r="B340" t="s">
        <v>24</v>
      </c>
      <c r="C340" t="s">
        <v>23</v>
      </c>
      <c r="D340" t="s">
        <v>19</v>
      </c>
      <c r="E340" t="s">
        <v>10</v>
      </c>
      <c r="F340">
        <v>5</v>
      </c>
      <c r="G340">
        <v>70</v>
      </c>
      <c r="H340">
        <v>3.5</v>
      </c>
      <c r="I340" t="s">
        <v>255</v>
      </c>
    </row>
    <row r="341" spans="1:9">
      <c r="A341" s="73">
        <v>43458</v>
      </c>
      <c r="B341" t="s">
        <v>13</v>
      </c>
      <c r="C341" t="s">
        <v>21</v>
      </c>
      <c r="D341" t="s">
        <v>25</v>
      </c>
      <c r="E341" t="s">
        <v>14</v>
      </c>
      <c r="F341">
        <v>2</v>
      </c>
      <c r="G341">
        <v>30</v>
      </c>
      <c r="H341" t="s">
        <v>261</v>
      </c>
      <c r="I341" t="s">
        <v>260</v>
      </c>
    </row>
    <row r="342" spans="1:9">
      <c r="A342" s="73">
        <v>43460</v>
      </c>
      <c r="B342" t="s">
        <v>20</v>
      </c>
      <c r="C342" t="s">
        <v>16</v>
      </c>
      <c r="D342" t="s">
        <v>25</v>
      </c>
      <c r="E342" t="s">
        <v>10</v>
      </c>
      <c r="F342">
        <v>2</v>
      </c>
      <c r="G342">
        <v>30</v>
      </c>
      <c r="H342" t="s">
        <v>261</v>
      </c>
      <c r="I342" t="s">
        <v>256</v>
      </c>
    </row>
    <row r="343" spans="1:9">
      <c r="A343" s="73">
        <v>43463</v>
      </c>
      <c r="B343" t="s">
        <v>17</v>
      </c>
      <c r="C343" t="s">
        <v>16</v>
      </c>
      <c r="D343" t="s">
        <v>25</v>
      </c>
      <c r="E343" t="s">
        <v>14</v>
      </c>
      <c r="F343">
        <v>1</v>
      </c>
      <c r="G343">
        <v>15</v>
      </c>
      <c r="H343" t="s">
        <v>261</v>
      </c>
      <c r="I343" t="s">
        <v>257</v>
      </c>
    </row>
    <row r="344" spans="1:9">
      <c r="A344" s="73">
        <v>43464</v>
      </c>
      <c r="B344" t="s">
        <v>13</v>
      </c>
      <c r="C344" t="s">
        <v>16</v>
      </c>
      <c r="D344" t="s">
        <v>15</v>
      </c>
      <c r="E344" t="s">
        <v>18</v>
      </c>
      <c r="F344">
        <v>8</v>
      </c>
      <c r="G344">
        <v>104</v>
      </c>
      <c r="H344">
        <v>5.2</v>
      </c>
      <c r="I344" t="s">
        <v>260</v>
      </c>
    </row>
    <row r="345" spans="1:9">
      <c r="A345" s="73">
        <v>43465</v>
      </c>
      <c r="B345" t="s">
        <v>20</v>
      </c>
      <c r="C345" t="s">
        <v>12</v>
      </c>
      <c r="D345" t="s">
        <v>19</v>
      </c>
      <c r="E345" t="s">
        <v>18</v>
      </c>
      <c r="F345">
        <v>1</v>
      </c>
      <c r="G345">
        <v>14</v>
      </c>
      <c r="H345" t="s">
        <v>261</v>
      </c>
      <c r="I345" t="s">
        <v>256</v>
      </c>
    </row>
    <row r="346" spans="1:9">
      <c r="A346" s="73">
        <v>43466</v>
      </c>
      <c r="B346" t="s">
        <v>20</v>
      </c>
      <c r="C346" t="s">
        <v>12</v>
      </c>
      <c r="D346" t="s">
        <v>25</v>
      </c>
      <c r="E346" t="s">
        <v>10</v>
      </c>
      <c r="F346">
        <v>7</v>
      </c>
      <c r="G346">
        <v>105</v>
      </c>
      <c r="H346">
        <v>5.25</v>
      </c>
      <c r="I346" t="s">
        <v>256</v>
      </c>
    </row>
    <row r="347" spans="1:9">
      <c r="A347" s="73">
        <v>43469</v>
      </c>
      <c r="B347" t="s">
        <v>13</v>
      </c>
      <c r="C347" t="s">
        <v>21</v>
      </c>
      <c r="D347" t="s">
        <v>25</v>
      </c>
      <c r="E347" t="s">
        <v>14</v>
      </c>
      <c r="F347">
        <v>4</v>
      </c>
      <c r="G347">
        <v>60</v>
      </c>
      <c r="H347" t="s">
        <v>261</v>
      </c>
      <c r="I347" t="s">
        <v>260</v>
      </c>
    </row>
    <row r="348" spans="1:9">
      <c r="A348" s="73">
        <v>43471</v>
      </c>
      <c r="B348" t="s">
        <v>20</v>
      </c>
      <c r="C348" t="s">
        <v>12</v>
      </c>
      <c r="D348" t="s">
        <v>11</v>
      </c>
      <c r="E348" t="s">
        <v>10</v>
      </c>
      <c r="F348">
        <v>3</v>
      </c>
      <c r="G348">
        <v>36</v>
      </c>
      <c r="H348" t="s">
        <v>261</v>
      </c>
      <c r="I348" t="s">
        <v>256</v>
      </c>
    </row>
    <row r="349" spans="1:9">
      <c r="A349" s="73">
        <v>43474</v>
      </c>
      <c r="B349" t="s">
        <v>24</v>
      </c>
      <c r="C349" t="s">
        <v>16</v>
      </c>
      <c r="D349" t="s">
        <v>15</v>
      </c>
      <c r="E349" t="s">
        <v>18</v>
      </c>
      <c r="F349">
        <v>2</v>
      </c>
      <c r="G349">
        <v>26</v>
      </c>
      <c r="H349" t="s">
        <v>261</v>
      </c>
      <c r="I349" t="s">
        <v>255</v>
      </c>
    </row>
    <row r="350" spans="1:9">
      <c r="A350" s="73">
        <v>43475</v>
      </c>
      <c r="B350" t="s">
        <v>20</v>
      </c>
      <c r="C350" t="s">
        <v>23</v>
      </c>
      <c r="D350" t="s">
        <v>25</v>
      </c>
      <c r="E350" t="s">
        <v>14</v>
      </c>
      <c r="F350">
        <v>6</v>
      </c>
      <c r="G350">
        <v>90</v>
      </c>
      <c r="H350">
        <v>4.5</v>
      </c>
      <c r="I350" t="s">
        <v>256</v>
      </c>
    </row>
    <row r="351" spans="1:9">
      <c r="A351" s="73">
        <v>43478</v>
      </c>
      <c r="B351" t="s">
        <v>13</v>
      </c>
      <c r="C351" t="s">
        <v>12</v>
      </c>
      <c r="D351" t="s">
        <v>19</v>
      </c>
      <c r="E351" t="s">
        <v>14</v>
      </c>
      <c r="F351">
        <v>5</v>
      </c>
      <c r="G351">
        <v>70</v>
      </c>
      <c r="H351">
        <v>3.5</v>
      </c>
      <c r="I351" t="s">
        <v>260</v>
      </c>
    </row>
    <row r="352" spans="1:9">
      <c r="A352" s="73">
        <v>43481</v>
      </c>
      <c r="B352" t="s">
        <v>13</v>
      </c>
      <c r="C352" t="s">
        <v>12</v>
      </c>
      <c r="D352" t="s">
        <v>25</v>
      </c>
      <c r="E352" t="s">
        <v>10</v>
      </c>
      <c r="F352">
        <v>7</v>
      </c>
      <c r="G352">
        <v>105</v>
      </c>
      <c r="H352">
        <v>5.25</v>
      </c>
      <c r="I352" t="s">
        <v>260</v>
      </c>
    </row>
    <row r="353" spans="1:9">
      <c r="A353" s="73">
        <v>43482</v>
      </c>
      <c r="B353" t="s">
        <v>13</v>
      </c>
      <c r="C353" t="s">
        <v>23</v>
      </c>
      <c r="D353" t="s">
        <v>19</v>
      </c>
      <c r="E353" t="s">
        <v>10</v>
      </c>
      <c r="F353">
        <v>7</v>
      </c>
      <c r="G353">
        <v>98</v>
      </c>
      <c r="H353">
        <v>4.9000000000000004</v>
      </c>
      <c r="I353" t="s">
        <v>260</v>
      </c>
    </row>
    <row r="354" spans="1:9">
      <c r="A354" s="73">
        <v>43484</v>
      </c>
      <c r="B354" t="s">
        <v>22</v>
      </c>
      <c r="C354" t="s">
        <v>21</v>
      </c>
      <c r="D354" t="s">
        <v>19</v>
      </c>
      <c r="E354" t="s">
        <v>14</v>
      </c>
      <c r="F354">
        <v>1</v>
      </c>
      <c r="G354">
        <v>14</v>
      </c>
      <c r="H354" t="s">
        <v>261</v>
      </c>
      <c r="I354" t="s">
        <v>258</v>
      </c>
    </row>
    <row r="355" spans="1:9">
      <c r="A355" s="73">
        <v>43485</v>
      </c>
      <c r="B355" t="s">
        <v>13</v>
      </c>
      <c r="C355" t="s">
        <v>21</v>
      </c>
      <c r="D355" t="s">
        <v>15</v>
      </c>
      <c r="E355" t="s">
        <v>14</v>
      </c>
      <c r="F355">
        <v>2</v>
      </c>
      <c r="G355">
        <v>26</v>
      </c>
      <c r="H355" t="s">
        <v>261</v>
      </c>
      <c r="I355" t="s">
        <v>260</v>
      </c>
    </row>
    <row r="356" spans="1:9">
      <c r="A356" s="73">
        <v>43487</v>
      </c>
      <c r="B356" t="s">
        <v>24</v>
      </c>
      <c r="C356" t="s">
        <v>12</v>
      </c>
      <c r="D356" t="s">
        <v>19</v>
      </c>
      <c r="E356" t="s">
        <v>14</v>
      </c>
      <c r="F356">
        <v>3</v>
      </c>
      <c r="G356">
        <v>42</v>
      </c>
      <c r="H356" t="s">
        <v>261</v>
      </c>
      <c r="I356" t="s">
        <v>255</v>
      </c>
    </row>
    <row r="357" spans="1:9">
      <c r="A357" s="73">
        <v>43488</v>
      </c>
      <c r="B357" t="s">
        <v>13</v>
      </c>
      <c r="C357" t="s">
        <v>12</v>
      </c>
      <c r="D357" t="s">
        <v>25</v>
      </c>
      <c r="E357" t="s">
        <v>10</v>
      </c>
      <c r="F357">
        <v>7</v>
      </c>
      <c r="G357">
        <v>105</v>
      </c>
      <c r="H357">
        <v>5.25</v>
      </c>
      <c r="I357" t="s">
        <v>260</v>
      </c>
    </row>
    <row r="358" spans="1:9">
      <c r="A358" s="73">
        <v>43489</v>
      </c>
      <c r="B358" t="s">
        <v>22</v>
      </c>
      <c r="C358" t="s">
        <v>12</v>
      </c>
      <c r="D358" t="s">
        <v>19</v>
      </c>
      <c r="E358" t="s">
        <v>14</v>
      </c>
      <c r="F358">
        <v>7</v>
      </c>
      <c r="G358">
        <v>98</v>
      </c>
      <c r="H358">
        <v>4.9000000000000004</v>
      </c>
      <c r="I358" t="s">
        <v>258</v>
      </c>
    </row>
    <row r="359" spans="1:9">
      <c r="A359" s="73">
        <v>43491</v>
      </c>
      <c r="B359" t="s">
        <v>13</v>
      </c>
      <c r="C359" t="s">
        <v>21</v>
      </c>
      <c r="D359" t="s">
        <v>19</v>
      </c>
      <c r="E359" t="s">
        <v>14</v>
      </c>
      <c r="F359">
        <v>3</v>
      </c>
      <c r="G359">
        <v>42</v>
      </c>
      <c r="H359" t="s">
        <v>261</v>
      </c>
      <c r="I359" t="s">
        <v>260</v>
      </c>
    </row>
    <row r="360" spans="1:9">
      <c r="A360" s="73">
        <v>43494</v>
      </c>
      <c r="B360" t="s">
        <v>17</v>
      </c>
      <c r="C360" t="s">
        <v>21</v>
      </c>
      <c r="D360" t="s">
        <v>15</v>
      </c>
      <c r="E360" t="s">
        <v>18</v>
      </c>
      <c r="F360">
        <v>5</v>
      </c>
      <c r="G360">
        <v>65</v>
      </c>
      <c r="H360" t="s">
        <v>261</v>
      </c>
      <c r="I360" t="s">
        <v>257</v>
      </c>
    </row>
    <row r="361" spans="1:9">
      <c r="A361" s="73">
        <v>43497</v>
      </c>
      <c r="B361" t="s">
        <v>13</v>
      </c>
      <c r="C361" t="s">
        <v>23</v>
      </c>
      <c r="D361" t="s">
        <v>19</v>
      </c>
      <c r="E361" t="s">
        <v>14</v>
      </c>
      <c r="F361">
        <v>3</v>
      </c>
      <c r="G361">
        <v>42</v>
      </c>
      <c r="H361" t="s">
        <v>261</v>
      </c>
      <c r="I361" t="s">
        <v>260</v>
      </c>
    </row>
    <row r="362" spans="1:9">
      <c r="A362" s="73">
        <v>43499</v>
      </c>
      <c r="B362" t="s">
        <v>22</v>
      </c>
      <c r="C362" t="s">
        <v>23</v>
      </c>
      <c r="D362" t="s">
        <v>15</v>
      </c>
      <c r="E362" t="s">
        <v>10</v>
      </c>
      <c r="F362">
        <v>4</v>
      </c>
      <c r="G362">
        <v>52</v>
      </c>
      <c r="H362" t="s">
        <v>261</v>
      </c>
      <c r="I362" t="s">
        <v>258</v>
      </c>
    </row>
    <row r="363" spans="1:9">
      <c r="A363" s="73">
        <v>43500</v>
      </c>
      <c r="B363" t="s">
        <v>13</v>
      </c>
      <c r="C363" t="s">
        <v>12</v>
      </c>
      <c r="D363" t="s">
        <v>25</v>
      </c>
      <c r="E363" t="s">
        <v>18</v>
      </c>
      <c r="F363">
        <v>1</v>
      </c>
      <c r="G363">
        <v>15</v>
      </c>
      <c r="H363" t="s">
        <v>261</v>
      </c>
      <c r="I363" t="s">
        <v>260</v>
      </c>
    </row>
    <row r="364" spans="1:9">
      <c r="A364" s="73">
        <v>43503</v>
      </c>
      <c r="B364" t="s">
        <v>13</v>
      </c>
      <c r="C364" t="s">
        <v>12</v>
      </c>
      <c r="D364" t="s">
        <v>25</v>
      </c>
      <c r="E364" t="s">
        <v>10</v>
      </c>
      <c r="F364">
        <v>8</v>
      </c>
      <c r="G364">
        <v>120</v>
      </c>
      <c r="H364">
        <v>6</v>
      </c>
      <c r="I364" t="s">
        <v>260</v>
      </c>
    </row>
    <row r="365" spans="1:9">
      <c r="A365" s="73">
        <v>43506</v>
      </c>
      <c r="B365" t="s">
        <v>24</v>
      </c>
      <c r="C365" t="s">
        <v>21</v>
      </c>
      <c r="D365" t="s">
        <v>11</v>
      </c>
      <c r="E365" t="s">
        <v>14</v>
      </c>
      <c r="F365">
        <v>7</v>
      </c>
      <c r="G365">
        <v>84</v>
      </c>
      <c r="H365">
        <v>4.2</v>
      </c>
      <c r="I365" t="s">
        <v>255</v>
      </c>
    </row>
    <row r="366" spans="1:9">
      <c r="A366" s="73">
        <v>43507</v>
      </c>
      <c r="B366" t="s">
        <v>24</v>
      </c>
      <c r="C366" t="s">
        <v>21</v>
      </c>
      <c r="D366" t="s">
        <v>11</v>
      </c>
      <c r="E366" t="s">
        <v>18</v>
      </c>
      <c r="F366">
        <v>4</v>
      </c>
      <c r="G366">
        <v>48</v>
      </c>
      <c r="H366" t="s">
        <v>261</v>
      </c>
      <c r="I366" t="s">
        <v>255</v>
      </c>
    </row>
    <row r="367" spans="1:9">
      <c r="A367" s="73">
        <v>43510</v>
      </c>
      <c r="B367" t="s">
        <v>24</v>
      </c>
      <c r="C367" t="s">
        <v>21</v>
      </c>
      <c r="D367" t="s">
        <v>25</v>
      </c>
      <c r="E367" t="s">
        <v>14</v>
      </c>
      <c r="F367">
        <v>7</v>
      </c>
      <c r="G367">
        <v>105</v>
      </c>
      <c r="H367">
        <v>5.25</v>
      </c>
      <c r="I367" t="s">
        <v>255</v>
      </c>
    </row>
    <row r="368" spans="1:9">
      <c r="A368" s="73">
        <v>43512</v>
      </c>
      <c r="B368" t="s">
        <v>13</v>
      </c>
      <c r="C368" t="s">
        <v>21</v>
      </c>
      <c r="D368" t="s">
        <v>15</v>
      </c>
      <c r="E368" t="s">
        <v>14</v>
      </c>
      <c r="F368">
        <v>8</v>
      </c>
      <c r="G368">
        <v>104</v>
      </c>
      <c r="H368">
        <v>5.2</v>
      </c>
      <c r="I368" t="s">
        <v>260</v>
      </c>
    </row>
    <row r="369" spans="1:9">
      <c r="A369" s="73">
        <v>43514</v>
      </c>
      <c r="B369" t="s">
        <v>22</v>
      </c>
      <c r="C369" t="s">
        <v>12</v>
      </c>
      <c r="D369" t="s">
        <v>15</v>
      </c>
      <c r="E369" t="s">
        <v>18</v>
      </c>
      <c r="F369">
        <v>8</v>
      </c>
      <c r="G369">
        <v>104</v>
      </c>
      <c r="H369">
        <v>5.2</v>
      </c>
      <c r="I369" t="s">
        <v>258</v>
      </c>
    </row>
    <row r="370" spans="1:9">
      <c r="A370" s="73">
        <v>43517</v>
      </c>
      <c r="B370" t="s">
        <v>20</v>
      </c>
      <c r="C370" t="s">
        <v>21</v>
      </c>
      <c r="D370" t="s">
        <v>25</v>
      </c>
      <c r="E370" t="s">
        <v>14</v>
      </c>
      <c r="F370">
        <v>6</v>
      </c>
      <c r="G370">
        <v>90</v>
      </c>
      <c r="H370">
        <v>4.5</v>
      </c>
      <c r="I370" t="s">
        <v>256</v>
      </c>
    </row>
    <row r="371" spans="1:9">
      <c r="A371" s="73">
        <v>43520</v>
      </c>
      <c r="B371" t="s">
        <v>24</v>
      </c>
      <c r="C371" t="s">
        <v>12</v>
      </c>
      <c r="D371" t="s">
        <v>25</v>
      </c>
      <c r="E371" t="s">
        <v>18</v>
      </c>
      <c r="F371">
        <v>5</v>
      </c>
      <c r="G371">
        <v>75</v>
      </c>
      <c r="H371">
        <v>3.75</v>
      </c>
      <c r="I371" t="s">
        <v>255</v>
      </c>
    </row>
    <row r="372" spans="1:9">
      <c r="A372" s="73">
        <v>43521</v>
      </c>
      <c r="B372" t="s">
        <v>22</v>
      </c>
      <c r="C372" t="s">
        <v>12</v>
      </c>
      <c r="D372" t="s">
        <v>15</v>
      </c>
      <c r="E372" t="s">
        <v>18</v>
      </c>
      <c r="F372">
        <v>4</v>
      </c>
      <c r="G372">
        <v>52</v>
      </c>
      <c r="H372" t="s">
        <v>261</v>
      </c>
      <c r="I372" t="s">
        <v>258</v>
      </c>
    </row>
    <row r="373" spans="1:9">
      <c r="A373" s="73">
        <v>43524</v>
      </c>
      <c r="B373" t="s">
        <v>17</v>
      </c>
      <c r="C373" t="s">
        <v>21</v>
      </c>
      <c r="D373" t="s">
        <v>19</v>
      </c>
      <c r="E373" t="s">
        <v>18</v>
      </c>
      <c r="F373">
        <v>7</v>
      </c>
      <c r="G373">
        <v>98</v>
      </c>
      <c r="H373">
        <v>4.9000000000000004</v>
      </c>
      <c r="I373" t="s">
        <v>257</v>
      </c>
    </row>
    <row r="374" spans="1:9">
      <c r="A374" s="73">
        <v>43525</v>
      </c>
      <c r="B374" t="s">
        <v>22</v>
      </c>
      <c r="C374" t="s">
        <v>12</v>
      </c>
      <c r="D374" t="s">
        <v>19</v>
      </c>
      <c r="E374" t="s">
        <v>14</v>
      </c>
      <c r="F374">
        <v>8</v>
      </c>
      <c r="G374">
        <v>112</v>
      </c>
      <c r="H374">
        <v>5.6</v>
      </c>
      <c r="I374" t="s">
        <v>258</v>
      </c>
    </row>
    <row r="375" spans="1:9">
      <c r="A375" s="73">
        <v>43528</v>
      </c>
      <c r="B375" t="s">
        <v>22</v>
      </c>
      <c r="C375" t="s">
        <v>16</v>
      </c>
      <c r="D375" t="s">
        <v>19</v>
      </c>
      <c r="E375" t="s">
        <v>18</v>
      </c>
      <c r="F375">
        <v>8</v>
      </c>
      <c r="G375">
        <v>112</v>
      </c>
      <c r="H375">
        <v>5.6</v>
      </c>
      <c r="I375" t="s">
        <v>258</v>
      </c>
    </row>
    <row r="376" spans="1:9">
      <c r="A376" s="73">
        <v>43531</v>
      </c>
      <c r="B376" t="s">
        <v>17</v>
      </c>
      <c r="C376" t="s">
        <v>21</v>
      </c>
      <c r="D376" t="s">
        <v>15</v>
      </c>
      <c r="E376" t="s">
        <v>10</v>
      </c>
      <c r="F376">
        <v>2</v>
      </c>
      <c r="G376">
        <v>26</v>
      </c>
      <c r="H376" t="s">
        <v>261</v>
      </c>
      <c r="I376" t="s">
        <v>257</v>
      </c>
    </row>
    <row r="377" spans="1:9">
      <c r="A377" s="73">
        <v>43534</v>
      </c>
      <c r="B377" t="s">
        <v>17</v>
      </c>
      <c r="C377" t="s">
        <v>16</v>
      </c>
      <c r="D377" t="s">
        <v>11</v>
      </c>
      <c r="E377" t="s">
        <v>10</v>
      </c>
      <c r="F377">
        <v>1</v>
      </c>
      <c r="G377">
        <v>12</v>
      </c>
      <c r="H377" t="s">
        <v>261</v>
      </c>
      <c r="I377" t="s">
        <v>257</v>
      </c>
    </row>
    <row r="378" spans="1:9">
      <c r="A378" s="73">
        <v>43536</v>
      </c>
      <c r="B378" t="s">
        <v>24</v>
      </c>
      <c r="C378" t="s">
        <v>21</v>
      </c>
      <c r="D378" t="s">
        <v>15</v>
      </c>
      <c r="E378" t="s">
        <v>14</v>
      </c>
      <c r="F378">
        <v>6</v>
      </c>
      <c r="G378">
        <v>78</v>
      </c>
      <c r="H378">
        <v>3.9</v>
      </c>
      <c r="I378" t="s">
        <v>255</v>
      </c>
    </row>
    <row r="379" spans="1:9">
      <c r="A379" s="73">
        <v>43537</v>
      </c>
      <c r="B379" t="s">
        <v>22</v>
      </c>
      <c r="C379" t="s">
        <v>12</v>
      </c>
      <c r="D379" t="s">
        <v>25</v>
      </c>
      <c r="E379" t="s">
        <v>14</v>
      </c>
      <c r="F379">
        <v>1</v>
      </c>
      <c r="G379">
        <v>15</v>
      </c>
      <c r="H379" t="s">
        <v>261</v>
      </c>
      <c r="I379" t="s">
        <v>258</v>
      </c>
    </row>
    <row r="380" spans="1:9">
      <c r="A380" s="73">
        <v>43540</v>
      </c>
      <c r="B380" t="s">
        <v>13</v>
      </c>
      <c r="C380" t="s">
        <v>12</v>
      </c>
      <c r="D380" t="s">
        <v>25</v>
      </c>
      <c r="E380" t="s">
        <v>18</v>
      </c>
      <c r="F380">
        <v>6</v>
      </c>
      <c r="G380">
        <v>90</v>
      </c>
      <c r="H380">
        <v>4.5</v>
      </c>
      <c r="I380" t="s">
        <v>260</v>
      </c>
    </row>
    <row r="381" spans="1:9">
      <c r="A381" s="73">
        <v>43542</v>
      </c>
      <c r="B381" t="s">
        <v>13</v>
      </c>
      <c r="C381" t="s">
        <v>23</v>
      </c>
      <c r="D381" t="s">
        <v>15</v>
      </c>
      <c r="E381" t="s">
        <v>18</v>
      </c>
      <c r="F381">
        <v>4</v>
      </c>
      <c r="G381">
        <v>52</v>
      </c>
      <c r="H381" t="s">
        <v>261</v>
      </c>
      <c r="I381" t="s">
        <v>260</v>
      </c>
    </row>
    <row r="382" spans="1:9">
      <c r="A382" s="73">
        <v>43543</v>
      </c>
      <c r="B382" t="s">
        <v>13</v>
      </c>
      <c r="C382" t="s">
        <v>12</v>
      </c>
      <c r="D382" t="s">
        <v>19</v>
      </c>
      <c r="E382" t="s">
        <v>10</v>
      </c>
      <c r="F382">
        <v>8</v>
      </c>
      <c r="G382">
        <v>112</v>
      </c>
      <c r="H382">
        <v>5.6</v>
      </c>
      <c r="I382" t="s">
        <v>260</v>
      </c>
    </row>
    <row r="383" spans="1:9">
      <c r="A383" s="73">
        <v>43545</v>
      </c>
      <c r="B383" t="s">
        <v>22</v>
      </c>
      <c r="C383" t="s">
        <v>16</v>
      </c>
      <c r="D383" t="s">
        <v>11</v>
      </c>
      <c r="E383" t="s">
        <v>14</v>
      </c>
      <c r="F383">
        <v>6</v>
      </c>
      <c r="G383">
        <v>72</v>
      </c>
      <c r="H383">
        <v>3.6</v>
      </c>
      <c r="I383" t="s">
        <v>258</v>
      </c>
    </row>
    <row r="384" spans="1:9">
      <c r="A384" s="73">
        <v>43547</v>
      </c>
      <c r="B384" t="s">
        <v>20</v>
      </c>
      <c r="C384" t="s">
        <v>16</v>
      </c>
      <c r="D384" t="s">
        <v>25</v>
      </c>
      <c r="E384" t="s">
        <v>18</v>
      </c>
      <c r="F384">
        <v>3</v>
      </c>
      <c r="G384">
        <v>45</v>
      </c>
      <c r="H384" t="s">
        <v>261</v>
      </c>
      <c r="I384" t="s">
        <v>256</v>
      </c>
    </row>
    <row r="385" spans="1:9">
      <c r="A385" s="73">
        <v>43549</v>
      </c>
      <c r="B385" t="s">
        <v>17</v>
      </c>
      <c r="C385" t="s">
        <v>21</v>
      </c>
      <c r="D385" t="s">
        <v>19</v>
      </c>
      <c r="E385" t="s">
        <v>14</v>
      </c>
      <c r="F385">
        <v>1</v>
      </c>
      <c r="G385">
        <v>14</v>
      </c>
      <c r="H385" t="s">
        <v>261</v>
      </c>
      <c r="I385" t="s">
        <v>257</v>
      </c>
    </row>
    <row r="386" spans="1:9">
      <c r="A386" s="73">
        <v>43552</v>
      </c>
      <c r="B386" t="s">
        <v>17</v>
      </c>
      <c r="C386" t="s">
        <v>23</v>
      </c>
      <c r="D386" t="s">
        <v>25</v>
      </c>
      <c r="E386" t="s">
        <v>10</v>
      </c>
      <c r="F386">
        <v>3</v>
      </c>
      <c r="G386">
        <v>45</v>
      </c>
      <c r="H386" t="s">
        <v>261</v>
      </c>
      <c r="I386" t="s">
        <v>257</v>
      </c>
    </row>
    <row r="387" spans="1:9">
      <c r="A387" s="73">
        <v>43555</v>
      </c>
      <c r="B387" t="s">
        <v>24</v>
      </c>
      <c r="C387" t="s">
        <v>12</v>
      </c>
      <c r="D387" t="s">
        <v>15</v>
      </c>
      <c r="E387" t="s">
        <v>18</v>
      </c>
      <c r="F387">
        <v>3</v>
      </c>
      <c r="G387">
        <v>39</v>
      </c>
      <c r="H387" t="s">
        <v>261</v>
      </c>
      <c r="I387" t="s">
        <v>255</v>
      </c>
    </row>
    <row r="388" spans="1:9">
      <c r="A388" s="73">
        <v>43557</v>
      </c>
      <c r="B388" t="s">
        <v>24</v>
      </c>
      <c r="C388" t="s">
        <v>12</v>
      </c>
      <c r="D388" t="s">
        <v>25</v>
      </c>
      <c r="E388" t="s">
        <v>14</v>
      </c>
      <c r="F388">
        <v>4</v>
      </c>
      <c r="G388">
        <v>60</v>
      </c>
      <c r="H388" t="s">
        <v>261</v>
      </c>
      <c r="I388" t="s">
        <v>255</v>
      </c>
    </row>
    <row r="389" spans="1:9">
      <c r="A389" s="73">
        <v>43559</v>
      </c>
      <c r="B389" t="s">
        <v>24</v>
      </c>
      <c r="C389" t="s">
        <v>21</v>
      </c>
      <c r="D389" t="s">
        <v>19</v>
      </c>
      <c r="E389" t="s">
        <v>18</v>
      </c>
      <c r="F389">
        <v>7</v>
      </c>
      <c r="G389">
        <v>98</v>
      </c>
      <c r="H389">
        <v>4.9000000000000004</v>
      </c>
      <c r="I389" t="s">
        <v>255</v>
      </c>
    </row>
    <row r="390" spans="1:9">
      <c r="A390" s="73">
        <v>43562</v>
      </c>
      <c r="B390" t="s">
        <v>13</v>
      </c>
      <c r="C390" t="s">
        <v>21</v>
      </c>
      <c r="D390" t="s">
        <v>25</v>
      </c>
      <c r="E390" t="s">
        <v>10</v>
      </c>
      <c r="F390">
        <v>8</v>
      </c>
      <c r="G390">
        <v>120</v>
      </c>
      <c r="H390">
        <v>6</v>
      </c>
      <c r="I390" t="s">
        <v>260</v>
      </c>
    </row>
    <row r="391" spans="1:9">
      <c r="A391" s="73">
        <v>43563</v>
      </c>
      <c r="B391" t="s">
        <v>20</v>
      </c>
      <c r="C391" t="s">
        <v>12</v>
      </c>
      <c r="D391" t="s">
        <v>11</v>
      </c>
      <c r="E391" t="s">
        <v>18</v>
      </c>
      <c r="F391">
        <v>2</v>
      </c>
      <c r="G391">
        <v>24</v>
      </c>
      <c r="H391" t="s">
        <v>261</v>
      </c>
      <c r="I391" t="s">
        <v>256</v>
      </c>
    </row>
    <row r="392" spans="1:9">
      <c r="A392" s="73">
        <v>43566</v>
      </c>
      <c r="B392" t="s">
        <v>17</v>
      </c>
      <c r="C392" t="s">
        <v>12</v>
      </c>
      <c r="D392" t="s">
        <v>25</v>
      </c>
      <c r="E392" t="s">
        <v>10</v>
      </c>
      <c r="F392">
        <v>2</v>
      </c>
      <c r="G392">
        <v>30</v>
      </c>
      <c r="H392" t="s">
        <v>261</v>
      </c>
      <c r="I392" t="s">
        <v>257</v>
      </c>
    </row>
    <row r="393" spans="1:9">
      <c r="A393" s="73">
        <v>43568</v>
      </c>
      <c r="B393" t="s">
        <v>22</v>
      </c>
      <c r="C393" t="s">
        <v>12</v>
      </c>
      <c r="D393" t="s">
        <v>15</v>
      </c>
      <c r="E393" t="s">
        <v>14</v>
      </c>
      <c r="F393">
        <v>7</v>
      </c>
      <c r="G393">
        <v>91</v>
      </c>
      <c r="H393">
        <v>4.55</v>
      </c>
      <c r="I393" t="s">
        <v>258</v>
      </c>
    </row>
    <row r="394" spans="1:9">
      <c r="A394" s="73">
        <v>43570</v>
      </c>
      <c r="B394" t="s">
        <v>17</v>
      </c>
      <c r="C394" t="s">
        <v>21</v>
      </c>
      <c r="D394" t="s">
        <v>25</v>
      </c>
      <c r="E394" t="s">
        <v>10</v>
      </c>
      <c r="F394">
        <v>6</v>
      </c>
      <c r="G394">
        <v>90</v>
      </c>
      <c r="H394">
        <v>4.5</v>
      </c>
      <c r="I394" t="s">
        <v>257</v>
      </c>
    </row>
    <row r="395" spans="1:9">
      <c r="A395" s="73">
        <v>43571</v>
      </c>
      <c r="B395" t="s">
        <v>17</v>
      </c>
      <c r="C395" t="s">
        <v>23</v>
      </c>
      <c r="D395" t="s">
        <v>11</v>
      </c>
      <c r="E395" t="s">
        <v>14</v>
      </c>
      <c r="F395">
        <v>8</v>
      </c>
      <c r="G395">
        <v>96</v>
      </c>
      <c r="H395">
        <v>4.8</v>
      </c>
      <c r="I395" t="s">
        <v>257</v>
      </c>
    </row>
    <row r="396" spans="1:9">
      <c r="A396" s="73">
        <v>43572</v>
      </c>
      <c r="B396" t="s">
        <v>20</v>
      </c>
      <c r="C396" t="s">
        <v>21</v>
      </c>
      <c r="D396" t="s">
        <v>19</v>
      </c>
      <c r="E396" t="s">
        <v>18</v>
      </c>
      <c r="F396">
        <v>6</v>
      </c>
      <c r="G396">
        <v>84</v>
      </c>
      <c r="H396">
        <v>4.2</v>
      </c>
      <c r="I396" t="s">
        <v>256</v>
      </c>
    </row>
    <row r="397" spans="1:9">
      <c r="A397" s="73">
        <v>43574</v>
      </c>
      <c r="B397" t="s">
        <v>20</v>
      </c>
      <c r="C397" t="s">
        <v>21</v>
      </c>
      <c r="D397" t="s">
        <v>25</v>
      </c>
      <c r="E397" t="s">
        <v>10</v>
      </c>
      <c r="F397">
        <v>8</v>
      </c>
      <c r="G397">
        <v>120</v>
      </c>
      <c r="H397">
        <v>6</v>
      </c>
      <c r="I397" t="s">
        <v>256</v>
      </c>
    </row>
    <row r="398" spans="1:9">
      <c r="A398" s="73">
        <v>43575</v>
      </c>
      <c r="B398" t="s">
        <v>13</v>
      </c>
      <c r="C398" t="s">
        <v>16</v>
      </c>
      <c r="D398" t="s">
        <v>19</v>
      </c>
      <c r="E398" t="s">
        <v>10</v>
      </c>
      <c r="F398">
        <v>1</v>
      </c>
      <c r="G398">
        <v>14</v>
      </c>
      <c r="H398" t="s">
        <v>261</v>
      </c>
      <c r="I398" t="s">
        <v>260</v>
      </c>
    </row>
    <row r="399" spans="1:9">
      <c r="A399" s="73">
        <v>43577</v>
      </c>
      <c r="B399" t="s">
        <v>13</v>
      </c>
      <c r="C399" t="s">
        <v>12</v>
      </c>
      <c r="D399" t="s">
        <v>25</v>
      </c>
      <c r="E399" t="s">
        <v>18</v>
      </c>
      <c r="F399">
        <v>7</v>
      </c>
      <c r="G399">
        <v>105</v>
      </c>
      <c r="H399">
        <v>5.25</v>
      </c>
      <c r="I399" t="s">
        <v>260</v>
      </c>
    </row>
    <row r="400" spans="1:9">
      <c r="A400" s="73">
        <v>43578</v>
      </c>
      <c r="B400" t="s">
        <v>13</v>
      </c>
      <c r="C400" t="s">
        <v>12</v>
      </c>
      <c r="D400" t="s">
        <v>15</v>
      </c>
      <c r="E400" t="s">
        <v>14</v>
      </c>
      <c r="F400">
        <v>5</v>
      </c>
      <c r="G400">
        <v>65</v>
      </c>
      <c r="H400" t="s">
        <v>261</v>
      </c>
      <c r="I400" t="s">
        <v>260</v>
      </c>
    </row>
    <row r="401" spans="1:9">
      <c r="A401" s="73">
        <v>43579</v>
      </c>
      <c r="B401" t="s">
        <v>22</v>
      </c>
      <c r="C401" t="s">
        <v>16</v>
      </c>
      <c r="D401" t="s">
        <v>25</v>
      </c>
      <c r="E401" t="s">
        <v>14</v>
      </c>
      <c r="F401">
        <v>1</v>
      </c>
      <c r="G401">
        <v>15</v>
      </c>
      <c r="H401" t="s">
        <v>261</v>
      </c>
      <c r="I401" t="s">
        <v>258</v>
      </c>
    </row>
    <row r="402" spans="1:9">
      <c r="A402" s="73">
        <v>43581</v>
      </c>
      <c r="B402" t="s">
        <v>13</v>
      </c>
      <c r="C402" t="s">
        <v>21</v>
      </c>
      <c r="D402" t="s">
        <v>25</v>
      </c>
      <c r="E402" t="s">
        <v>18</v>
      </c>
      <c r="F402">
        <v>8</v>
      </c>
      <c r="G402">
        <v>120</v>
      </c>
      <c r="H402">
        <v>6</v>
      </c>
      <c r="I402" t="s">
        <v>260</v>
      </c>
    </row>
    <row r="403" spans="1:9">
      <c r="A403" s="73">
        <v>43583</v>
      </c>
      <c r="B403" t="s">
        <v>13</v>
      </c>
      <c r="C403" t="s">
        <v>23</v>
      </c>
      <c r="D403" t="s">
        <v>15</v>
      </c>
      <c r="E403" t="s">
        <v>10</v>
      </c>
      <c r="F403">
        <v>6</v>
      </c>
      <c r="G403">
        <v>78</v>
      </c>
      <c r="H403">
        <v>3.9</v>
      </c>
      <c r="I403" t="s">
        <v>260</v>
      </c>
    </row>
    <row r="404" spans="1:9">
      <c r="A404" s="73">
        <v>43584</v>
      </c>
      <c r="B404" t="s">
        <v>24</v>
      </c>
      <c r="C404" t="s">
        <v>12</v>
      </c>
      <c r="D404" t="s">
        <v>25</v>
      </c>
      <c r="E404" t="s">
        <v>14</v>
      </c>
      <c r="F404">
        <v>6</v>
      </c>
      <c r="G404">
        <v>90</v>
      </c>
      <c r="H404">
        <v>4.5</v>
      </c>
      <c r="I404" t="s">
        <v>255</v>
      </c>
    </row>
    <row r="405" spans="1:9">
      <c r="A405" s="73">
        <v>43587</v>
      </c>
      <c r="B405" t="s">
        <v>13</v>
      </c>
      <c r="C405" t="s">
        <v>12</v>
      </c>
      <c r="D405" t="s">
        <v>19</v>
      </c>
      <c r="E405" t="s">
        <v>18</v>
      </c>
      <c r="F405">
        <v>5</v>
      </c>
      <c r="G405">
        <v>70</v>
      </c>
      <c r="H405">
        <v>3.5</v>
      </c>
      <c r="I405" t="s">
        <v>260</v>
      </c>
    </row>
    <row r="406" spans="1:9">
      <c r="A406" s="73">
        <v>43590</v>
      </c>
      <c r="B406" t="s">
        <v>20</v>
      </c>
      <c r="C406" t="s">
        <v>12</v>
      </c>
      <c r="D406" t="s">
        <v>25</v>
      </c>
      <c r="E406" t="s">
        <v>10</v>
      </c>
      <c r="F406">
        <v>5</v>
      </c>
      <c r="G406">
        <v>75</v>
      </c>
      <c r="H406">
        <v>3.75</v>
      </c>
      <c r="I406" t="s">
        <v>256</v>
      </c>
    </row>
    <row r="407" spans="1:9">
      <c r="A407" s="73">
        <v>43591</v>
      </c>
      <c r="B407" t="s">
        <v>20</v>
      </c>
      <c r="C407" t="s">
        <v>21</v>
      </c>
      <c r="D407" t="s">
        <v>19</v>
      </c>
      <c r="E407" t="s">
        <v>18</v>
      </c>
      <c r="F407">
        <v>1</v>
      </c>
      <c r="G407">
        <v>14</v>
      </c>
      <c r="H407" t="s">
        <v>261</v>
      </c>
      <c r="I407" t="s">
        <v>256</v>
      </c>
    </row>
    <row r="408" spans="1:9">
      <c r="A408" s="73">
        <v>43592</v>
      </c>
      <c r="B408" t="s">
        <v>24</v>
      </c>
      <c r="C408" t="s">
        <v>12</v>
      </c>
      <c r="D408" t="s">
        <v>15</v>
      </c>
      <c r="E408" t="s">
        <v>14</v>
      </c>
      <c r="F408">
        <v>7</v>
      </c>
      <c r="G408">
        <v>91</v>
      </c>
      <c r="H408">
        <v>4.55</v>
      </c>
      <c r="I408" t="s">
        <v>255</v>
      </c>
    </row>
    <row r="409" spans="1:9">
      <c r="A409" s="73">
        <v>43594</v>
      </c>
      <c r="B409" t="s">
        <v>17</v>
      </c>
      <c r="C409" t="s">
        <v>12</v>
      </c>
      <c r="D409" t="s">
        <v>19</v>
      </c>
      <c r="E409" t="s">
        <v>18</v>
      </c>
      <c r="F409">
        <v>5</v>
      </c>
      <c r="G409">
        <v>70</v>
      </c>
      <c r="H409">
        <v>3.5</v>
      </c>
      <c r="I409" t="s">
        <v>257</v>
      </c>
    </row>
    <row r="410" spans="1:9">
      <c r="A410" s="73">
        <v>43595</v>
      </c>
      <c r="B410" t="s">
        <v>24</v>
      </c>
      <c r="C410" t="s">
        <v>12</v>
      </c>
      <c r="D410" t="s">
        <v>15</v>
      </c>
      <c r="E410" t="s">
        <v>10</v>
      </c>
      <c r="F410">
        <v>5</v>
      </c>
      <c r="G410">
        <v>65</v>
      </c>
      <c r="H410" t="s">
        <v>261</v>
      </c>
      <c r="I410" t="s">
        <v>255</v>
      </c>
    </row>
    <row r="411" spans="1:9">
      <c r="A411" s="73">
        <v>43596</v>
      </c>
      <c r="B411" t="s">
        <v>22</v>
      </c>
      <c r="C411" t="s">
        <v>21</v>
      </c>
      <c r="D411" t="s">
        <v>11</v>
      </c>
      <c r="E411" t="s">
        <v>14</v>
      </c>
      <c r="F411">
        <v>5</v>
      </c>
      <c r="G411">
        <v>60</v>
      </c>
      <c r="H411" t="s">
        <v>261</v>
      </c>
      <c r="I411" t="s">
        <v>258</v>
      </c>
    </row>
    <row r="412" spans="1:9">
      <c r="A412" s="73">
        <v>43597</v>
      </c>
      <c r="B412" t="s">
        <v>13</v>
      </c>
      <c r="C412" t="s">
        <v>16</v>
      </c>
      <c r="D412" t="s">
        <v>25</v>
      </c>
      <c r="E412" t="s">
        <v>10</v>
      </c>
      <c r="F412">
        <v>4</v>
      </c>
      <c r="G412">
        <v>60</v>
      </c>
      <c r="H412" t="s">
        <v>261</v>
      </c>
      <c r="I412" t="s">
        <v>260</v>
      </c>
    </row>
    <row r="413" spans="1:9">
      <c r="A413" s="73">
        <v>43598</v>
      </c>
      <c r="B413" t="s">
        <v>22</v>
      </c>
      <c r="C413" t="s">
        <v>12</v>
      </c>
      <c r="D413" t="s">
        <v>11</v>
      </c>
      <c r="E413" t="s">
        <v>10</v>
      </c>
      <c r="F413">
        <v>6</v>
      </c>
      <c r="G413">
        <v>72</v>
      </c>
      <c r="H413">
        <v>3.6</v>
      </c>
      <c r="I413" t="s">
        <v>258</v>
      </c>
    </row>
    <row r="414" spans="1:9">
      <c r="A414" s="73">
        <v>43601</v>
      </c>
      <c r="B414" t="s">
        <v>13</v>
      </c>
      <c r="C414" t="s">
        <v>16</v>
      </c>
      <c r="D414" t="s">
        <v>19</v>
      </c>
      <c r="E414" t="s">
        <v>18</v>
      </c>
      <c r="F414">
        <v>5</v>
      </c>
      <c r="G414">
        <v>70</v>
      </c>
      <c r="H414">
        <v>3.5</v>
      </c>
      <c r="I414" t="s">
        <v>260</v>
      </c>
    </row>
    <row r="415" spans="1:9">
      <c r="A415" s="73">
        <v>43602</v>
      </c>
      <c r="B415" t="s">
        <v>13</v>
      </c>
      <c r="C415" t="s">
        <v>12</v>
      </c>
      <c r="D415" t="s">
        <v>25</v>
      </c>
      <c r="E415" t="s">
        <v>10</v>
      </c>
      <c r="F415">
        <v>8</v>
      </c>
      <c r="G415">
        <v>120</v>
      </c>
      <c r="H415">
        <v>6</v>
      </c>
      <c r="I415" t="s">
        <v>260</v>
      </c>
    </row>
    <row r="416" spans="1:9">
      <c r="A416" s="73">
        <v>43604</v>
      </c>
      <c r="B416" t="s">
        <v>13</v>
      </c>
      <c r="C416" t="s">
        <v>12</v>
      </c>
      <c r="D416" t="s">
        <v>25</v>
      </c>
      <c r="E416" t="s">
        <v>14</v>
      </c>
      <c r="F416">
        <v>5</v>
      </c>
      <c r="G416">
        <v>75</v>
      </c>
      <c r="H416">
        <v>3.75</v>
      </c>
      <c r="I416" t="s">
        <v>260</v>
      </c>
    </row>
    <row r="417" spans="1:9">
      <c r="A417" s="73">
        <v>43606</v>
      </c>
      <c r="B417" t="s">
        <v>17</v>
      </c>
      <c r="C417" t="s">
        <v>12</v>
      </c>
      <c r="D417" t="s">
        <v>19</v>
      </c>
      <c r="E417" t="s">
        <v>14</v>
      </c>
      <c r="F417">
        <v>8</v>
      </c>
      <c r="G417">
        <v>112</v>
      </c>
      <c r="H417">
        <v>5.6</v>
      </c>
      <c r="I417" t="s">
        <v>257</v>
      </c>
    </row>
    <row r="418" spans="1:9">
      <c r="A418" s="73">
        <v>43607</v>
      </c>
      <c r="B418" t="s">
        <v>24</v>
      </c>
      <c r="C418" t="s">
        <v>21</v>
      </c>
      <c r="D418" t="s">
        <v>11</v>
      </c>
      <c r="E418" t="s">
        <v>18</v>
      </c>
      <c r="F418">
        <v>3</v>
      </c>
      <c r="G418">
        <v>36</v>
      </c>
      <c r="H418" t="s">
        <v>261</v>
      </c>
      <c r="I418" t="s">
        <v>255</v>
      </c>
    </row>
    <row r="419" spans="1:9">
      <c r="A419" s="73">
        <v>43608</v>
      </c>
      <c r="B419" t="s">
        <v>13</v>
      </c>
      <c r="C419" t="s">
        <v>23</v>
      </c>
      <c r="D419" t="s">
        <v>15</v>
      </c>
      <c r="E419" t="s">
        <v>10</v>
      </c>
      <c r="F419">
        <v>2</v>
      </c>
      <c r="G419">
        <v>26</v>
      </c>
      <c r="H419" t="s">
        <v>261</v>
      </c>
      <c r="I419" t="s">
        <v>260</v>
      </c>
    </row>
    <row r="420" spans="1:9">
      <c r="A420" s="73">
        <v>43610</v>
      </c>
      <c r="B420" t="s">
        <v>13</v>
      </c>
      <c r="C420" t="s">
        <v>21</v>
      </c>
      <c r="D420" t="s">
        <v>25</v>
      </c>
      <c r="E420" t="s">
        <v>18</v>
      </c>
      <c r="F420">
        <v>3</v>
      </c>
      <c r="G420">
        <v>45</v>
      </c>
      <c r="H420" t="s">
        <v>261</v>
      </c>
      <c r="I420" t="s">
        <v>260</v>
      </c>
    </row>
    <row r="421" spans="1:9">
      <c r="A421" s="73">
        <v>43613</v>
      </c>
      <c r="B421" t="s">
        <v>22</v>
      </c>
      <c r="C421" t="s">
        <v>21</v>
      </c>
      <c r="D421" t="s">
        <v>11</v>
      </c>
      <c r="E421" t="s">
        <v>10</v>
      </c>
      <c r="F421">
        <v>3</v>
      </c>
      <c r="G421">
        <v>36</v>
      </c>
      <c r="H421" t="s">
        <v>261</v>
      </c>
      <c r="I421" t="s">
        <v>258</v>
      </c>
    </row>
    <row r="422" spans="1:9">
      <c r="A422" s="73">
        <v>43614</v>
      </c>
      <c r="B422" t="s">
        <v>13</v>
      </c>
      <c r="C422" t="s">
        <v>21</v>
      </c>
      <c r="D422" t="s">
        <v>25</v>
      </c>
      <c r="E422" t="s">
        <v>14</v>
      </c>
      <c r="F422">
        <v>8</v>
      </c>
      <c r="G422">
        <v>120</v>
      </c>
      <c r="H422">
        <v>6</v>
      </c>
      <c r="I422" t="s">
        <v>260</v>
      </c>
    </row>
    <row r="423" spans="1:9">
      <c r="A423" s="73">
        <v>43615</v>
      </c>
      <c r="B423" t="s">
        <v>22</v>
      </c>
      <c r="C423" t="s">
        <v>12</v>
      </c>
      <c r="D423" t="s">
        <v>25</v>
      </c>
      <c r="E423" t="s">
        <v>14</v>
      </c>
      <c r="F423">
        <v>2</v>
      </c>
      <c r="G423">
        <v>30</v>
      </c>
      <c r="H423" t="s">
        <v>261</v>
      </c>
      <c r="I423" t="s">
        <v>258</v>
      </c>
    </row>
    <row r="424" spans="1:9">
      <c r="A424" s="73">
        <v>43618</v>
      </c>
      <c r="B424" t="s">
        <v>20</v>
      </c>
      <c r="C424" t="s">
        <v>21</v>
      </c>
      <c r="D424" t="s">
        <v>25</v>
      </c>
      <c r="E424" t="s">
        <v>18</v>
      </c>
      <c r="F424">
        <v>7</v>
      </c>
      <c r="G424">
        <v>105</v>
      </c>
      <c r="H424">
        <v>5.25</v>
      </c>
      <c r="I424" t="s">
        <v>256</v>
      </c>
    </row>
    <row r="425" spans="1:9">
      <c r="A425" s="73">
        <v>43621</v>
      </c>
      <c r="B425" t="s">
        <v>13</v>
      </c>
      <c r="C425" t="s">
        <v>12</v>
      </c>
      <c r="D425" t="s">
        <v>25</v>
      </c>
      <c r="E425" t="s">
        <v>10</v>
      </c>
      <c r="F425">
        <v>4</v>
      </c>
      <c r="G425">
        <v>60</v>
      </c>
      <c r="H425" t="s">
        <v>261</v>
      </c>
      <c r="I425" t="s">
        <v>260</v>
      </c>
    </row>
    <row r="426" spans="1:9">
      <c r="A426" s="73">
        <v>43622</v>
      </c>
      <c r="B426" t="s">
        <v>13</v>
      </c>
      <c r="C426" t="s">
        <v>23</v>
      </c>
      <c r="D426" t="s">
        <v>11</v>
      </c>
      <c r="E426" t="s">
        <v>18</v>
      </c>
      <c r="F426">
        <v>1</v>
      </c>
      <c r="G426">
        <v>12</v>
      </c>
      <c r="H426" t="s">
        <v>261</v>
      </c>
      <c r="I426" t="s">
        <v>260</v>
      </c>
    </row>
    <row r="427" spans="1:9">
      <c r="A427" s="73">
        <v>43625</v>
      </c>
      <c r="B427" t="s">
        <v>24</v>
      </c>
      <c r="C427" t="s">
        <v>21</v>
      </c>
      <c r="D427" t="s">
        <v>25</v>
      </c>
      <c r="E427" t="s">
        <v>10</v>
      </c>
      <c r="F427">
        <v>3</v>
      </c>
      <c r="G427">
        <v>45</v>
      </c>
      <c r="H427" t="s">
        <v>261</v>
      </c>
      <c r="I427" t="s">
        <v>255</v>
      </c>
    </row>
    <row r="428" spans="1:9">
      <c r="A428" s="73">
        <v>43628</v>
      </c>
      <c r="B428" t="s">
        <v>13</v>
      </c>
      <c r="C428" t="s">
        <v>12</v>
      </c>
      <c r="D428" t="s">
        <v>25</v>
      </c>
      <c r="E428" t="s">
        <v>10</v>
      </c>
      <c r="F428">
        <v>7</v>
      </c>
      <c r="G428">
        <v>105</v>
      </c>
      <c r="H428">
        <v>5.25</v>
      </c>
      <c r="I428" t="s">
        <v>260</v>
      </c>
    </row>
    <row r="429" spans="1:9">
      <c r="A429" s="73">
        <v>43630</v>
      </c>
      <c r="B429" t="s">
        <v>17</v>
      </c>
      <c r="C429" t="s">
        <v>23</v>
      </c>
      <c r="D429" t="s">
        <v>11</v>
      </c>
      <c r="E429" t="s">
        <v>14</v>
      </c>
      <c r="F429">
        <v>2</v>
      </c>
      <c r="G429">
        <v>24</v>
      </c>
      <c r="H429" t="s">
        <v>261</v>
      </c>
      <c r="I429" t="s">
        <v>257</v>
      </c>
    </row>
    <row r="430" spans="1:9">
      <c r="A430" s="73">
        <v>43633</v>
      </c>
      <c r="B430" t="s">
        <v>13</v>
      </c>
      <c r="C430" t="s">
        <v>21</v>
      </c>
      <c r="D430" t="s">
        <v>11</v>
      </c>
      <c r="E430" t="s">
        <v>18</v>
      </c>
      <c r="F430">
        <v>3</v>
      </c>
      <c r="G430">
        <v>36</v>
      </c>
      <c r="H430" t="s">
        <v>261</v>
      </c>
      <c r="I430" t="s">
        <v>260</v>
      </c>
    </row>
    <row r="431" spans="1:9">
      <c r="A431" s="73">
        <v>43635</v>
      </c>
      <c r="B431" t="s">
        <v>24</v>
      </c>
      <c r="C431" t="s">
        <v>21</v>
      </c>
      <c r="D431" t="s">
        <v>19</v>
      </c>
      <c r="E431" t="s">
        <v>10</v>
      </c>
      <c r="F431">
        <v>7</v>
      </c>
      <c r="G431">
        <v>98</v>
      </c>
      <c r="H431">
        <v>4.9000000000000004</v>
      </c>
      <c r="I431" t="s">
        <v>255</v>
      </c>
    </row>
    <row r="432" spans="1:9">
      <c r="A432" s="73">
        <v>43638</v>
      </c>
      <c r="B432" t="s">
        <v>22</v>
      </c>
      <c r="C432" t="s">
        <v>21</v>
      </c>
      <c r="D432" t="s">
        <v>25</v>
      </c>
      <c r="E432" t="s">
        <v>18</v>
      </c>
      <c r="F432">
        <v>7</v>
      </c>
      <c r="G432">
        <v>105</v>
      </c>
      <c r="H432">
        <v>5.25</v>
      </c>
      <c r="I432" t="s">
        <v>258</v>
      </c>
    </row>
    <row r="433" spans="1:9">
      <c r="A433" s="73">
        <v>43641</v>
      </c>
      <c r="B433" t="s">
        <v>13</v>
      </c>
      <c r="C433" t="s">
        <v>12</v>
      </c>
      <c r="D433" t="s">
        <v>19</v>
      </c>
      <c r="E433" t="s">
        <v>14</v>
      </c>
      <c r="F433">
        <v>4</v>
      </c>
      <c r="G433">
        <v>56</v>
      </c>
      <c r="H433" t="s">
        <v>261</v>
      </c>
      <c r="I433" t="s">
        <v>260</v>
      </c>
    </row>
    <row r="434" spans="1:9">
      <c r="A434" s="73">
        <v>43643</v>
      </c>
      <c r="B434" t="s">
        <v>20</v>
      </c>
      <c r="C434" t="s">
        <v>21</v>
      </c>
      <c r="D434" t="s">
        <v>15</v>
      </c>
      <c r="E434" t="s">
        <v>14</v>
      </c>
      <c r="F434">
        <v>6</v>
      </c>
      <c r="G434">
        <v>78</v>
      </c>
      <c r="H434">
        <v>3.9</v>
      </c>
      <c r="I434" t="s">
        <v>256</v>
      </c>
    </row>
    <row r="435" spans="1:9">
      <c r="A435" s="73">
        <v>43644</v>
      </c>
      <c r="B435" t="s">
        <v>20</v>
      </c>
      <c r="C435" t="s">
        <v>12</v>
      </c>
      <c r="D435" t="s">
        <v>15</v>
      </c>
      <c r="E435" t="s">
        <v>10</v>
      </c>
      <c r="F435">
        <v>1</v>
      </c>
      <c r="G435">
        <v>13</v>
      </c>
      <c r="H435" t="s">
        <v>261</v>
      </c>
      <c r="I435" t="s">
        <v>256</v>
      </c>
    </row>
    <row r="436" spans="1:9">
      <c r="A436" s="73">
        <v>43645</v>
      </c>
      <c r="B436" t="s">
        <v>17</v>
      </c>
      <c r="C436" t="s">
        <v>23</v>
      </c>
      <c r="D436" t="s">
        <v>11</v>
      </c>
      <c r="E436" t="s">
        <v>18</v>
      </c>
      <c r="F436">
        <v>3</v>
      </c>
      <c r="G436">
        <v>36</v>
      </c>
      <c r="H436" t="s">
        <v>261</v>
      </c>
      <c r="I436" t="s">
        <v>257</v>
      </c>
    </row>
    <row r="437" spans="1:9">
      <c r="A437" s="73">
        <v>43648</v>
      </c>
      <c r="B437" t="s">
        <v>24</v>
      </c>
      <c r="C437" t="s">
        <v>21</v>
      </c>
      <c r="D437" t="s">
        <v>15</v>
      </c>
      <c r="E437" t="s">
        <v>10</v>
      </c>
      <c r="F437">
        <v>1</v>
      </c>
      <c r="G437">
        <v>13</v>
      </c>
      <c r="H437" t="s">
        <v>261</v>
      </c>
      <c r="I437" t="s">
        <v>255</v>
      </c>
    </row>
    <row r="438" spans="1:9">
      <c r="A438" s="73">
        <v>43649</v>
      </c>
      <c r="B438" t="s">
        <v>13</v>
      </c>
      <c r="C438" t="s">
        <v>21</v>
      </c>
      <c r="D438" t="s">
        <v>25</v>
      </c>
      <c r="E438" t="s">
        <v>14</v>
      </c>
      <c r="F438">
        <v>7</v>
      </c>
      <c r="G438">
        <v>105</v>
      </c>
      <c r="H438">
        <v>5.25</v>
      </c>
      <c r="I438" t="s">
        <v>260</v>
      </c>
    </row>
    <row r="439" spans="1:9">
      <c r="A439" s="73">
        <v>43651</v>
      </c>
      <c r="B439" t="s">
        <v>13</v>
      </c>
      <c r="C439" t="s">
        <v>21</v>
      </c>
      <c r="D439" t="s">
        <v>15</v>
      </c>
      <c r="E439" t="s">
        <v>10</v>
      </c>
      <c r="F439">
        <v>7</v>
      </c>
      <c r="G439">
        <v>91</v>
      </c>
      <c r="H439">
        <v>4.55</v>
      </c>
      <c r="I439" t="s">
        <v>260</v>
      </c>
    </row>
    <row r="440" spans="1:9">
      <c r="A440" s="73">
        <v>43653</v>
      </c>
      <c r="B440" t="s">
        <v>13</v>
      </c>
      <c r="C440" t="s">
        <v>12</v>
      </c>
      <c r="D440" t="s">
        <v>25</v>
      </c>
      <c r="E440" t="s">
        <v>18</v>
      </c>
      <c r="F440">
        <v>3</v>
      </c>
      <c r="G440">
        <v>45</v>
      </c>
      <c r="H440" t="s">
        <v>261</v>
      </c>
      <c r="I440" t="s">
        <v>260</v>
      </c>
    </row>
    <row r="441" spans="1:9">
      <c r="A441" s="73">
        <v>43655</v>
      </c>
      <c r="B441" t="s">
        <v>22</v>
      </c>
      <c r="C441" t="s">
        <v>12</v>
      </c>
      <c r="D441" t="s">
        <v>19</v>
      </c>
      <c r="E441" t="s">
        <v>18</v>
      </c>
      <c r="F441">
        <v>1</v>
      </c>
      <c r="G441">
        <v>14</v>
      </c>
      <c r="H441" t="s">
        <v>261</v>
      </c>
      <c r="I441" t="s">
        <v>258</v>
      </c>
    </row>
    <row r="442" spans="1:9">
      <c r="A442" s="73">
        <v>43657</v>
      </c>
      <c r="B442" t="s">
        <v>13</v>
      </c>
      <c r="C442" t="s">
        <v>16</v>
      </c>
      <c r="D442" t="s">
        <v>15</v>
      </c>
      <c r="E442" t="s">
        <v>18</v>
      </c>
      <c r="F442">
        <v>8</v>
      </c>
      <c r="G442">
        <v>104</v>
      </c>
      <c r="H442">
        <v>5.2</v>
      </c>
      <c r="I442" t="s">
        <v>260</v>
      </c>
    </row>
    <row r="443" spans="1:9">
      <c r="A443" s="73">
        <v>43658</v>
      </c>
      <c r="B443" t="s">
        <v>20</v>
      </c>
      <c r="C443" t="s">
        <v>21</v>
      </c>
      <c r="D443" t="s">
        <v>11</v>
      </c>
      <c r="E443" t="s">
        <v>10</v>
      </c>
      <c r="F443">
        <v>2</v>
      </c>
      <c r="G443">
        <v>24</v>
      </c>
      <c r="H443" t="s">
        <v>261</v>
      </c>
      <c r="I443" t="s">
        <v>256</v>
      </c>
    </row>
    <row r="444" spans="1:9">
      <c r="A444" s="73">
        <v>43661</v>
      </c>
      <c r="B444" t="s">
        <v>24</v>
      </c>
      <c r="C444" t="s">
        <v>12</v>
      </c>
      <c r="D444" t="s">
        <v>19</v>
      </c>
      <c r="E444" t="s">
        <v>14</v>
      </c>
      <c r="F444">
        <v>7</v>
      </c>
      <c r="G444">
        <v>98</v>
      </c>
      <c r="H444">
        <v>4.9000000000000004</v>
      </c>
      <c r="I444" t="s">
        <v>255</v>
      </c>
    </row>
    <row r="445" spans="1:9">
      <c r="A445" s="73">
        <v>43663</v>
      </c>
      <c r="B445" t="s">
        <v>22</v>
      </c>
      <c r="C445" t="s">
        <v>16</v>
      </c>
      <c r="D445" t="s">
        <v>11</v>
      </c>
      <c r="E445" t="s">
        <v>18</v>
      </c>
      <c r="F445">
        <v>1</v>
      </c>
      <c r="G445">
        <v>12</v>
      </c>
      <c r="H445" t="s">
        <v>261</v>
      </c>
      <c r="I445" t="s">
        <v>258</v>
      </c>
    </row>
    <row r="446" spans="1:9">
      <c r="A446" s="73">
        <v>43665</v>
      </c>
      <c r="B446" t="s">
        <v>22</v>
      </c>
      <c r="C446" t="s">
        <v>23</v>
      </c>
      <c r="D446" t="s">
        <v>25</v>
      </c>
      <c r="E446" t="s">
        <v>10</v>
      </c>
      <c r="F446">
        <v>7</v>
      </c>
      <c r="G446">
        <v>105</v>
      </c>
      <c r="H446">
        <v>5.25</v>
      </c>
      <c r="I446" t="s">
        <v>258</v>
      </c>
    </row>
    <row r="447" spans="1:9">
      <c r="A447" s="73">
        <v>43668</v>
      </c>
      <c r="B447" t="s">
        <v>17</v>
      </c>
      <c r="C447" t="s">
        <v>12</v>
      </c>
      <c r="D447" t="s">
        <v>25</v>
      </c>
      <c r="E447" t="s">
        <v>18</v>
      </c>
      <c r="F447">
        <v>6</v>
      </c>
      <c r="G447">
        <v>90</v>
      </c>
      <c r="H447">
        <v>4.5</v>
      </c>
      <c r="I447" t="s">
        <v>257</v>
      </c>
    </row>
    <row r="448" spans="1:9">
      <c r="A448" s="73">
        <v>43669</v>
      </c>
      <c r="B448" t="s">
        <v>17</v>
      </c>
      <c r="C448" t="s">
        <v>21</v>
      </c>
      <c r="D448" t="s">
        <v>25</v>
      </c>
      <c r="E448" t="s">
        <v>10</v>
      </c>
      <c r="F448">
        <v>7</v>
      </c>
      <c r="G448">
        <v>105</v>
      </c>
      <c r="H448">
        <v>5.25</v>
      </c>
      <c r="I448" t="s">
        <v>257</v>
      </c>
    </row>
    <row r="449" spans="1:9">
      <c r="A449" s="73">
        <v>43670</v>
      </c>
      <c r="B449" t="s">
        <v>20</v>
      </c>
      <c r="C449" t="s">
        <v>21</v>
      </c>
      <c r="D449" t="s">
        <v>25</v>
      </c>
      <c r="E449" t="s">
        <v>10</v>
      </c>
      <c r="F449">
        <v>4</v>
      </c>
      <c r="G449">
        <v>60</v>
      </c>
      <c r="H449" t="s">
        <v>261</v>
      </c>
      <c r="I449" t="s">
        <v>256</v>
      </c>
    </row>
    <row r="450" spans="1:9">
      <c r="A450" s="73">
        <v>43673</v>
      </c>
      <c r="B450" t="s">
        <v>22</v>
      </c>
      <c r="C450" t="s">
        <v>16</v>
      </c>
      <c r="D450" t="s">
        <v>25</v>
      </c>
      <c r="E450" t="s">
        <v>18</v>
      </c>
      <c r="F450">
        <v>3</v>
      </c>
      <c r="G450">
        <v>45</v>
      </c>
      <c r="H450" t="s">
        <v>261</v>
      </c>
      <c r="I450" t="s">
        <v>258</v>
      </c>
    </row>
    <row r="451" spans="1:9">
      <c r="A451" s="73">
        <v>43676</v>
      </c>
      <c r="B451" t="s">
        <v>24</v>
      </c>
      <c r="C451" t="s">
        <v>16</v>
      </c>
      <c r="D451" t="s">
        <v>25</v>
      </c>
      <c r="E451" t="s">
        <v>10</v>
      </c>
      <c r="F451">
        <v>6</v>
      </c>
      <c r="G451">
        <v>90</v>
      </c>
      <c r="H451">
        <v>4.5</v>
      </c>
      <c r="I451" t="s">
        <v>255</v>
      </c>
    </row>
    <row r="452" spans="1:9">
      <c r="A452" s="73">
        <v>43678</v>
      </c>
      <c r="B452" t="s">
        <v>22</v>
      </c>
      <c r="C452" t="s">
        <v>21</v>
      </c>
      <c r="D452" t="s">
        <v>11</v>
      </c>
      <c r="E452" t="s">
        <v>18</v>
      </c>
      <c r="F452">
        <v>8</v>
      </c>
      <c r="G452">
        <v>96</v>
      </c>
      <c r="H452">
        <v>4.8</v>
      </c>
      <c r="I452" t="s">
        <v>258</v>
      </c>
    </row>
    <row r="453" spans="1:9">
      <c r="A453" s="73">
        <v>43680</v>
      </c>
      <c r="B453" t="s">
        <v>24</v>
      </c>
      <c r="C453" t="s">
        <v>16</v>
      </c>
      <c r="D453" t="s">
        <v>15</v>
      </c>
      <c r="E453" t="s">
        <v>10</v>
      </c>
      <c r="F453">
        <v>6</v>
      </c>
      <c r="G453">
        <v>120</v>
      </c>
      <c r="H453">
        <v>6</v>
      </c>
      <c r="I453" t="s">
        <v>255</v>
      </c>
    </row>
    <row r="454" spans="1:9">
      <c r="A454" s="73"/>
      <c r="G454">
        <v>26398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AF038-F5D6-4358-9C24-4C69DBACB5E2}">
  <dimension ref="A1:AH461"/>
  <sheetViews>
    <sheetView showGridLines="0" topLeftCell="J12" zoomScaleNormal="100" workbookViewId="0">
      <selection activeCell="C20" sqref="B9:K460"/>
    </sheetView>
  </sheetViews>
  <sheetFormatPr baseColWidth="10" defaultColWidth="8.88671875" defaultRowHeight="14.4"/>
  <cols>
    <col min="2" max="2" width="14.44140625" customWidth="1"/>
    <col min="3" max="3" width="16" customWidth="1"/>
    <col min="4" max="4" width="12" customWidth="1"/>
    <col min="5" max="5" width="10.33203125" customWidth="1"/>
    <col min="6" max="6" width="14" customWidth="1"/>
    <col min="7" max="7" width="9.5546875" bestFit="1" customWidth="1"/>
    <col min="8" max="8" width="16.88671875" customWidth="1"/>
    <col min="9" max="9" width="19" hidden="1" customWidth="1"/>
    <col min="10" max="10" width="17" customWidth="1"/>
    <col min="11" max="12" width="31.5546875" customWidth="1"/>
    <col min="13" max="13" width="13.44140625" bestFit="1" customWidth="1"/>
    <col min="14" max="14" width="16.88671875" bestFit="1" customWidth="1"/>
    <col min="15" max="16" width="10.5546875" bestFit="1" customWidth="1"/>
    <col min="17" max="17" width="9" bestFit="1" customWidth="1"/>
    <col min="18" max="18" width="11.33203125" bestFit="1" customWidth="1"/>
    <col min="19" max="19" width="10.5546875" customWidth="1"/>
    <col min="20" max="20" width="13.44140625" bestFit="1" customWidth="1"/>
    <col min="21" max="21" width="12.5546875" bestFit="1" customWidth="1"/>
    <col min="22" max="22" width="5.33203125" customWidth="1"/>
    <col min="23" max="23" width="17.44140625" customWidth="1"/>
    <col min="24" max="24" width="8.44140625" bestFit="1" customWidth="1"/>
    <col min="25" max="26" width="6.109375" bestFit="1" customWidth="1"/>
    <col min="27" max="27" width="5.6640625" bestFit="1" customWidth="1"/>
    <col min="28" max="28" width="11.44140625" bestFit="1" customWidth="1"/>
    <col min="29" max="29" width="6.33203125" bestFit="1" customWidth="1"/>
    <col min="30" max="31" width="6.109375" bestFit="1" customWidth="1"/>
    <col min="32" max="32" width="5.6640625" bestFit="1" customWidth="1"/>
    <col min="33" max="33" width="7.88671875" bestFit="1" customWidth="1"/>
    <col min="34" max="35" width="6.109375" bestFit="1" customWidth="1"/>
    <col min="36" max="36" width="5.6640625" bestFit="1" customWidth="1"/>
    <col min="37" max="37" width="10.88671875" bestFit="1" customWidth="1"/>
    <col min="38" max="38" width="11.33203125" bestFit="1" customWidth="1"/>
  </cols>
  <sheetData>
    <row r="1" spans="1:34" ht="15" customHeight="1">
      <c r="A1" s="75" t="s">
        <v>0</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row>
    <row r="2" spans="1:34" ht="15" customHeight="1">
      <c r="A2" s="75"/>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row>
    <row r="3" spans="1:34" ht="15" customHeight="1">
      <c r="A3" s="75"/>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row>
    <row r="4" spans="1:34" ht="15" customHeight="1">
      <c r="A4" s="75"/>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row>
    <row r="5" spans="1:34" ht="17.399999999999999">
      <c r="A5" s="77" t="s">
        <v>1</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row>
    <row r="6" spans="1:34">
      <c r="B6" t="s">
        <v>124</v>
      </c>
      <c r="J6" s="49" t="s">
        <v>247</v>
      </c>
      <c r="K6" s="49" t="s">
        <v>245</v>
      </c>
      <c r="L6" s="49"/>
      <c r="M6" s="47" t="s">
        <v>233</v>
      </c>
      <c r="N6" t="s">
        <v>229</v>
      </c>
      <c r="O6" s="2"/>
      <c r="P6" s="2"/>
      <c r="Q6" s="2"/>
      <c r="R6" s="2"/>
      <c r="S6" s="2"/>
      <c r="T6" s="2"/>
      <c r="U6" s="2"/>
      <c r="V6" s="2"/>
      <c r="W6" s="2"/>
    </row>
    <row r="7" spans="1:34">
      <c r="B7" s="34" t="s">
        <v>125</v>
      </c>
      <c r="J7" t="s">
        <v>248</v>
      </c>
      <c r="K7" s="61" t="s">
        <v>246</v>
      </c>
      <c r="L7" s="61"/>
      <c r="M7" s="2" t="s">
        <v>226</v>
      </c>
      <c r="N7" s="2"/>
      <c r="O7" s="2"/>
      <c r="P7" s="2"/>
      <c r="Q7" s="2"/>
      <c r="R7" s="2"/>
      <c r="S7" s="2"/>
      <c r="T7" s="2"/>
      <c r="U7" s="2"/>
      <c r="V7" s="2"/>
    </row>
    <row r="8" spans="1:34" ht="15.6">
      <c r="B8" s="45" t="s">
        <v>2</v>
      </c>
      <c r="C8" s="46" t="s">
        <v>3</v>
      </c>
      <c r="D8" s="46" t="s">
        <v>6</v>
      </c>
      <c r="E8" s="46" t="s">
        <v>5</v>
      </c>
      <c r="F8" s="46" t="s">
        <v>4</v>
      </c>
      <c r="G8" s="45" t="s">
        <v>7</v>
      </c>
      <c r="H8" s="57" t="s">
        <v>8</v>
      </c>
      <c r="I8" s="72" t="s">
        <v>242</v>
      </c>
      <c r="J8" s="58" t="s">
        <v>243</v>
      </c>
      <c r="K8" s="56" t="s">
        <v>244</v>
      </c>
      <c r="L8" s="56"/>
      <c r="M8" s="47" t="s">
        <v>224</v>
      </c>
      <c r="N8" s="47" t="s">
        <v>225</v>
      </c>
      <c r="S8" s="2"/>
      <c r="T8" s="47" t="s">
        <v>222</v>
      </c>
      <c r="U8" t="s">
        <v>224</v>
      </c>
      <c r="W8" s="52">
        <v>2</v>
      </c>
      <c r="X8">
        <f>COUNT(W8:W13)</f>
        <v>2</v>
      </c>
    </row>
    <row r="9" spans="1:34" ht="15.6">
      <c r="B9" s="31">
        <v>42372</v>
      </c>
      <c r="C9" s="21" t="s">
        <v>9</v>
      </c>
      <c r="D9" s="21" t="s">
        <v>12</v>
      </c>
      <c r="E9" s="21" t="s">
        <v>11</v>
      </c>
      <c r="F9" s="21" t="s">
        <v>10</v>
      </c>
      <c r="G9" s="32">
        <v>1</v>
      </c>
      <c r="H9" s="33">
        <v>11</v>
      </c>
      <c r="I9" s="62"/>
      <c r="J9" s="59" t="str">
        <f>IF(TableSales[[#This Row],[Sales]]&gt;=70, TableSales[[#This Row],[Sales]]*0.05, "No commission")</f>
        <v>No commission</v>
      </c>
      <c r="K9" s="60" t="str">
        <f>LEFT($J$7,6)&amp;TableSales[[#This Row],[Salesperson]]&amp;RIGHT($K$7,10)</f>
        <v>sales.MONIQUE@email.com</v>
      </c>
      <c r="L9" s="60"/>
      <c r="M9" s="47" t="s">
        <v>222</v>
      </c>
      <c r="N9" t="s">
        <v>21</v>
      </c>
      <c r="O9" t="s">
        <v>16</v>
      </c>
      <c r="P9" t="s">
        <v>12</v>
      </c>
      <c r="Q9" t="s">
        <v>23</v>
      </c>
      <c r="R9" t="s">
        <v>223</v>
      </c>
      <c r="S9" s="2"/>
      <c r="T9" s="48" t="s">
        <v>15</v>
      </c>
      <c r="U9" s="49">
        <v>7506</v>
      </c>
      <c r="W9" s="52" t="s">
        <v>236</v>
      </c>
    </row>
    <row r="10" spans="1:34" ht="15.6">
      <c r="B10" s="27">
        <v>42382</v>
      </c>
      <c r="C10" s="22" t="s">
        <v>13</v>
      </c>
      <c r="D10" s="22" t="s">
        <v>16</v>
      </c>
      <c r="E10" s="22" t="s">
        <v>15</v>
      </c>
      <c r="F10" s="22" t="s">
        <v>14</v>
      </c>
      <c r="G10" s="19">
        <v>8</v>
      </c>
      <c r="H10" s="29">
        <v>96</v>
      </c>
      <c r="I10" s="59"/>
      <c r="J10" s="59">
        <f>IF(TableSales[[#This Row],[Sales]]&gt;=70, TableSales[[#This Row],[Sales]]*0.05, "No commission")</f>
        <v>4.8000000000000007</v>
      </c>
      <c r="K10" s="60" t="str">
        <f>LEFT($J$7,6)&amp;TableSales[[#This Row],[Salesperson]]&amp;RIGHT($K$7,10)</f>
        <v>sales.PETE@email.com</v>
      </c>
      <c r="L10" s="60"/>
      <c r="M10" s="48" t="s">
        <v>24</v>
      </c>
      <c r="N10" s="49">
        <v>677</v>
      </c>
      <c r="O10" s="49">
        <v>511</v>
      </c>
      <c r="P10" s="49">
        <v>407</v>
      </c>
      <c r="Q10" s="49">
        <v>197</v>
      </c>
      <c r="R10" s="49">
        <v>1792</v>
      </c>
      <c r="S10" s="2"/>
      <c r="T10" s="50" t="s">
        <v>227</v>
      </c>
      <c r="U10" s="49">
        <v>1764</v>
      </c>
      <c r="W10" s="53">
        <v>0</v>
      </c>
    </row>
    <row r="11" spans="1:34" ht="15.6">
      <c r="B11" s="28">
        <v>42390</v>
      </c>
      <c r="C11" s="23" t="s">
        <v>17</v>
      </c>
      <c r="D11" s="23" t="s">
        <v>12</v>
      </c>
      <c r="E11" s="23" t="s">
        <v>19</v>
      </c>
      <c r="F11" s="23" t="s">
        <v>18</v>
      </c>
      <c r="G11" s="20">
        <v>2</v>
      </c>
      <c r="H11" s="30">
        <v>26</v>
      </c>
      <c r="I11" s="62"/>
      <c r="J11" s="59" t="str">
        <f>IF(TableSales[[#This Row],[Sales]]&gt;=70, TableSales[[#This Row],[Sales]]*0.05, "No commission")</f>
        <v>No commission</v>
      </c>
      <c r="K11" s="60" t="str">
        <f>LEFT($J$7,6)&amp;TableSales[[#This Row],[Salesperson]]&amp;RIGHT($K$7,10)</f>
        <v>sales.LAUREN@email.com</v>
      </c>
      <c r="L11" s="60"/>
      <c r="M11" s="48" t="s">
        <v>20</v>
      </c>
      <c r="N11" s="49">
        <v>538</v>
      </c>
      <c r="O11" s="49">
        <v>295</v>
      </c>
      <c r="P11" s="49">
        <v>421</v>
      </c>
      <c r="Q11" s="49">
        <v>337</v>
      </c>
      <c r="R11" s="49">
        <v>1591</v>
      </c>
      <c r="S11" s="2"/>
      <c r="T11" s="50" t="s">
        <v>228</v>
      </c>
      <c r="U11" s="49">
        <v>2136</v>
      </c>
    </row>
    <row r="12" spans="1:34" ht="15.6">
      <c r="B12" s="27">
        <v>42399</v>
      </c>
      <c r="C12" s="22" t="s">
        <v>20</v>
      </c>
      <c r="D12" s="22" t="s">
        <v>21</v>
      </c>
      <c r="E12" s="22" t="s">
        <v>15</v>
      </c>
      <c r="F12" s="22" t="s">
        <v>14</v>
      </c>
      <c r="G12" s="19">
        <v>7</v>
      </c>
      <c r="H12" s="29">
        <v>84</v>
      </c>
      <c r="I12" s="59"/>
      <c r="J12" s="59">
        <f>IF(TableSales[[#This Row],[Sales]]&gt;=70, TableSales[[#This Row],[Sales]]*0.05, "No commission")</f>
        <v>4.2</v>
      </c>
      <c r="K12" s="60" t="str">
        <f>LEFT($J$7,6)&amp;TableSales[[#This Row],[Salesperson]]&amp;RIGHT($K$7,10)</f>
        <v>sales.HARRY@email.com</v>
      </c>
      <c r="L12" s="60"/>
      <c r="M12" s="48" t="s">
        <v>17</v>
      </c>
      <c r="N12" s="49">
        <v>528</v>
      </c>
      <c r="O12" s="49">
        <v>196</v>
      </c>
      <c r="P12" s="49">
        <v>599</v>
      </c>
      <c r="Q12" s="49">
        <v>165</v>
      </c>
      <c r="R12" s="49">
        <v>1488</v>
      </c>
      <c r="S12" s="2"/>
      <c r="T12" s="50" t="s">
        <v>229</v>
      </c>
      <c r="U12" s="49">
        <v>2147</v>
      </c>
      <c r="W12" s="53"/>
    </row>
    <row r="13" spans="1:34" ht="15.6">
      <c r="B13" s="28">
        <v>42407</v>
      </c>
      <c r="C13" s="23" t="s">
        <v>22</v>
      </c>
      <c r="D13" s="23" t="s">
        <v>21</v>
      </c>
      <c r="E13" s="23" t="s">
        <v>19</v>
      </c>
      <c r="F13" s="23" t="s">
        <v>18</v>
      </c>
      <c r="G13" s="20">
        <v>8</v>
      </c>
      <c r="H13" s="30">
        <v>104</v>
      </c>
      <c r="I13" s="62"/>
      <c r="J13" s="59">
        <f>IF(TableSales[[#This Row],[Sales]]&gt;=70, TableSales[[#This Row],[Sales]]*0.05, "No commission")</f>
        <v>5.2</v>
      </c>
      <c r="K13" s="60" t="str">
        <f>LEFT($J$7,6)&amp;TableSales[[#This Row],[Salesperson]]&amp;RIGHT($K$7,10)</f>
        <v>sales.MARIO@email.com</v>
      </c>
      <c r="L13" s="60"/>
      <c r="M13" s="48" t="s">
        <v>22</v>
      </c>
      <c r="N13" s="49">
        <v>768</v>
      </c>
      <c r="O13" s="49">
        <v>488</v>
      </c>
      <c r="P13" s="49">
        <v>260</v>
      </c>
      <c r="Q13" s="49">
        <v>134</v>
      </c>
      <c r="R13" s="49">
        <v>1650</v>
      </c>
      <c r="S13" s="2"/>
      <c r="T13" s="50" t="s">
        <v>230</v>
      </c>
      <c r="U13" s="49">
        <v>1459</v>
      </c>
      <c r="W13" s="54"/>
    </row>
    <row r="14" spans="1:34" ht="15.6">
      <c r="B14" s="27">
        <v>42413</v>
      </c>
      <c r="C14" s="22" t="s">
        <v>13</v>
      </c>
      <c r="D14" s="22" t="s">
        <v>16</v>
      </c>
      <c r="E14" s="22" t="s">
        <v>11</v>
      </c>
      <c r="F14" s="22" t="s">
        <v>14</v>
      </c>
      <c r="G14" s="19">
        <v>2</v>
      </c>
      <c r="H14" s="29">
        <v>22</v>
      </c>
      <c r="I14" s="59"/>
      <c r="J14" s="59" t="str">
        <f>IF(TableSales[[#This Row],[Sales]]&gt;=70, TableSales[[#This Row],[Sales]]*0.05, "No commission")</f>
        <v>No commission</v>
      </c>
      <c r="K14" s="60" t="str">
        <f>LEFT($J$7,6)&amp;TableSales[[#This Row],[Salesperson]]&amp;RIGHT($K$7,10)</f>
        <v>sales.PETE@email.com</v>
      </c>
      <c r="L14" s="60"/>
      <c r="M14" s="48" t="s">
        <v>13</v>
      </c>
      <c r="N14" s="49">
        <v>1150</v>
      </c>
      <c r="O14" s="49">
        <v>466</v>
      </c>
      <c r="P14" s="49">
        <v>808</v>
      </c>
      <c r="Q14" s="49">
        <v>83</v>
      </c>
      <c r="R14" s="49">
        <v>2507</v>
      </c>
      <c r="S14" s="2"/>
      <c r="T14" s="48" t="s">
        <v>19</v>
      </c>
      <c r="U14" s="49">
        <v>6414</v>
      </c>
    </row>
    <row r="15" spans="1:34" ht="15.6">
      <c r="B15" s="28">
        <v>42421</v>
      </c>
      <c r="C15" s="23" t="s">
        <v>13</v>
      </c>
      <c r="D15" s="23" t="s">
        <v>23</v>
      </c>
      <c r="E15" s="23" t="s">
        <v>15</v>
      </c>
      <c r="F15" s="21" t="s">
        <v>10</v>
      </c>
      <c r="G15" s="20">
        <v>5</v>
      </c>
      <c r="H15" s="30">
        <v>60</v>
      </c>
      <c r="I15" s="62"/>
      <c r="J15" s="59" t="str">
        <f>IF(TableSales[[#This Row],[Sales]]&gt;=70, TableSales[[#This Row],[Sales]]*0.05, "No commission")</f>
        <v>No commission</v>
      </c>
      <c r="K15" s="60" t="str">
        <f>LEFT($J$7,6)&amp;TableSales[[#This Row],[Salesperson]]&amp;RIGHT($K$7,10)</f>
        <v>sales.PETE@email.com</v>
      </c>
      <c r="L15" s="60"/>
      <c r="M15" s="48" t="s">
        <v>223</v>
      </c>
      <c r="N15" s="49">
        <v>3661</v>
      </c>
      <c r="O15" s="49">
        <v>1956</v>
      </c>
      <c r="P15" s="49">
        <v>2495</v>
      </c>
      <c r="Q15" s="49">
        <v>916</v>
      </c>
      <c r="R15" s="49">
        <v>9028</v>
      </c>
      <c r="S15" s="2"/>
      <c r="T15" s="50" t="s">
        <v>227</v>
      </c>
      <c r="U15" s="49">
        <v>1001</v>
      </c>
      <c r="W15" s="16" t="s">
        <v>253</v>
      </c>
    </row>
    <row r="16" spans="1:34" ht="15.6">
      <c r="B16" s="27">
        <v>42430</v>
      </c>
      <c r="C16" s="22" t="s">
        <v>24</v>
      </c>
      <c r="D16" s="22" t="s">
        <v>12</v>
      </c>
      <c r="E16" s="22" t="s">
        <v>19</v>
      </c>
      <c r="F16" s="22" t="s">
        <v>18</v>
      </c>
      <c r="G16" s="19">
        <v>2</v>
      </c>
      <c r="H16" s="29">
        <v>26</v>
      </c>
      <c r="I16" s="59"/>
      <c r="J16" s="59" t="str">
        <f>IF(TableSales[[#This Row],[Sales]]&gt;=70, TableSales[[#This Row],[Sales]]*0.05, "No commission")</f>
        <v>No commission</v>
      </c>
      <c r="K16" s="60" t="str">
        <f>LEFT($J$7,6)&amp;TableSales[[#This Row],[Salesperson]]&amp;RIGHT($K$7,10)</f>
        <v>sales.EDGAR@email.com</v>
      </c>
      <c r="L16" s="60"/>
      <c r="M16" t="s">
        <v>231</v>
      </c>
      <c r="S16" s="2"/>
      <c r="T16" s="50" t="s">
        <v>228</v>
      </c>
      <c r="U16" s="49">
        <v>2431</v>
      </c>
      <c r="W16" s="55">
        <f>AVERAGE(TableSales[Units])</f>
        <v>4.5309734513274336</v>
      </c>
    </row>
    <row r="17" spans="2:23" ht="15.6">
      <c r="B17" s="28">
        <v>42442</v>
      </c>
      <c r="C17" s="23" t="s">
        <v>17</v>
      </c>
      <c r="D17" s="23" t="s">
        <v>23</v>
      </c>
      <c r="E17" s="23" t="s">
        <v>15</v>
      </c>
      <c r="F17" s="21" t="s">
        <v>10</v>
      </c>
      <c r="G17" s="20">
        <v>8</v>
      </c>
      <c r="H17" s="30">
        <v>96</v>
      </c>
      <c r="I17" s="62"/>
      <c r="J17" s="59">
        <f>IF(TableSales[[#This Row],[Sales]]&gt;=70, TableSales[[#This Row],[Sales]]*0.05, "No commission")</f>
        <v>4.8000000000000007</v>
      </c>
      <c r="K17" s="60" t="str">
        <f>LEFT($J$7,6)&amp;TableSales[[#This Row],[Salesperson]]&amp;RIGHT($K$7,10)</f>
        <v>sales.LAUREN@email.com</v>
      </c>
      <c r="L17" s="60"/>
      <c r="S17" s="2"/>
      <c r="T17" s="50" t="s">
        <v>229</v>
      </c>
      <c r="U17" s="49">
        <v>1330</v>
      </c>
      <c r="W17" s="16" t="s">
        <v>254</v>
      </c>
    </row>
    <row r="18" spans="2:23" ht="15.6">
      <c r="B18" s="27">
        <v>42452</v>
      </c>
      <c r="C18" s="22" t="s">
        <v>13</v>
      </c>
      <c r="D18" s="22" t="s">
        <v>21</v>
      </c>
      <c r="E18" s="22" t="s">
        <v>15</v>
      </c>
      <c r="F18" s="22" t="s">
        <v>18</v>
      </c>
      <c r="G18" s="19">
        <v>7</v>
      </c>
      <c r="H18" s="29">
        <v>84</v>
      </c>
      <c r="I18" s="59"/>
      <c r="J18" s="59">
        <f>IF(TableSales[[#This Row],[Sales]]&gt;=70, TableSales[[#This Row],[Sales]]*0.05, "No commission")</f>
        <v>4.2</v>
      </c>
      <c r="K18" s="60" t="str">
        <f>LEFT($J$7,6)&amp;TableSales[[#This Row],[Salesperson]]&amp;RIGHT($K$7,10)</f>
        <v>sales.PETE@email.com</v>
      </c>
      <c r="L18" s="60"/>
      <c r="M18" s="47" t="s">
        <v>233</v>
      </c>
      <c r="N18" t="s">
        <v>232</v>
      </c>
      <c r="S18" s="2"/>
      <c r="T18" s="50" t="s">
        <v>230</v>
      </c>
      <c r="U18" s="49">
        <v>1652</v>
      </c>
      <c r="W18" s="55">
        <f>AVERAGE(TableSales[Sales])</f>
        <v>58.402654867256636</v>
      </c>
    </row>
    <row r="19" spans="2:23" ht="15.6">
      <c r="B19" s="28">
        <v>42457</v>
      </c>
      <c r="C19" s="23" t="s">
        <v>22</v>
      </c>
      <c r="D19" s="23" t="s">
        <v>12</v>
      </c>
      <c r="E19" s="23" t="s">
        <v>19</v>
      </c>
      <c r="F19" s="21" t="s">
        <v>10</v>
      </c>
      <c r="G19" s="20">
        <v>2</v>
      </c>
      <c r="H19" s="30">
        <v>26</v>
      </c>
      <c r="I19" s="62"/>
      <c r="J19" s="59" t="str">
        <f>IF(TableSales[[#This Row],[Sales]]&gt;=70, TableSales[[#This Row],[Sales]]*0.05, "No commission")</f>
        <v>No commission</v>
      </c>
      <c r="K19" s="60" t="str">
        <f>LEFT($J$7,6)&amp;TableSales[[#This Row],[Salesperson]]&amp;RIGHT($K$7,10)</f>
        <v>sales.MARIO@email.com</v>
      </c>
      <c r="L19" s="60"/>
      <c r="S19" s="2"/>
      <c r="T19" s="48" t="s">
        <v>11</v>
      </c>
      <c r="U19" s="49">
        <v>5508</v>
      </c>
    </row>
    <row r="20" spans="2:23" ht="15.6">
      <c r="B20" s="27">
        <v>42463</v>
      </c>
      <c r="C20" s="22" t="s">
        <v>20</v>
      </c>
      <c r="D20" s="22" t="s">
        <v>16</v>
      </c>
      <c r="E20" s="22" t="s">
        <v>15</v>
      </c>
      <c r="F20" s="22" t="s">
        <v>18</v>
      </c>
      <c r="G20" s="19">
        <v>8</v>
      </c>
      <c r="H20" s="29">
        <v>96</v>
      </c>
      <c r="I20" s="59"/>
      <c r="J20" s="59">
        <f>IF(TableSales[[#This Row],[Sales]]&gt;=70, TableSales[[#This Row],[Sales]]*0.05, "No commission")</f>
        <v>4.8000000000000007</v>
      </c>
      <c r="K20" s="60" t="str">
        <f>LEFT($J$7,6)&amp;TableSales[[#This Row],[Salesperson]]&amp;RIGHT($K$7,10)</f>
        <v>sales.HARRY@email.com</v>
      </c>
      <c r="L20" s="60"/>
      <c r="M20" s="47" t="s">
        <v>234</v>
      </c>
      <c r="N20" s="47" t="s">
        <v>225</v>
      </c>
      <c r="S20" s="2"/>
      <c r="T20" s="50" t="s">
        <v>227</v>
      </c>
      <c r="U20" s="49">
        <v>682</v>
      </c>
    </row>
    <row r="21" spans="2:23" ht="15.6">
      <c r="B21" s="28">
        <v>42472</v>
      </c>
      <c r="C21" s="23" t="s">
        <v>24</v>
      </c>
      <c r="D21" s="23" t="s">
        <v>16</v>
      </c>
      <c r="E21" s="23" t="s">
        <v>19</v>
      </c>
      <c r="F21" s="23" t="s">
        <v>18</v>
      </c>
      <c r="G21" s="20">
        <v>1</v>
      </c>
      <c r="H21" s="30">
        <v>13</v>
      </c>
      <c r="I21" s="62"/>
      <c r="J21" s="59" t="str">
        <f>IF(TableSales[[#This Row],[Sales]]&gt;=70, TableSales[[#This Row],[Sales]]*0.05, "No commission")</f>
        <v>No commission</v>
      </c>
      <c r="K21" s="60" t="str">
        <f>LEFT($J$7,6)&amp;TableSales[[#This Row],[Salesperson]]&amp;RIGHT($K$7,10)</f>
        <v>sales.EDGAR@email.com</v>
      </c>
      <c r="L21" s="60"/>
      <c r="M21" s="47" t="s">
        <v>222</v>
      </c>
      <c r="N21" t="s">
        <v>21</v>
      </c>
      <c r="O21" t="s">
        <v>16</v>
      </c>
      <c r="P21" t="s">
        <v>12</v>
      </c>
      <c r="Q21" t="s">
        <v>23</v>
      </c>
      <c r="R21" t="s">
        <v>223</v>
      </c>
      <c r="S21" s="2"/>
      <c r="T21" s="50" t="s">
        <v>228</v>
      </c>
      <c r="U21" s="49">
        <v>2024</v>
      </c>
    </row>
    <row r="22" spans="2:23" ht="15.6">
      <c r="B22" s="27">
        <v>42476</v>
      </c>
      <c r="C22" s="22" t="s">
        <v>22</v>
      </c>
      <c r="D22" s="22" t="s">
        <v>23</v>
      </c>
      <c r="E22" s="22" t="s">
        <v>11</v>
      </c>
      <c r="F22" s="22" t="s">
        <v>10</v>
      </c>
      <c r="G22" s="19">
        <v>8</v>
      </c>
      <c r="H22" s="29">
        <v>88</v>
      </c>
      <c r="I22" s="59"/>
      <c r="J22" s="59">
        <f>IF(TableSales[[#This Row],[Sales]]&gt;=70, TableSales[[#This Row],[Sales]]*0.05, "No commission")</f>
        <v>4.4000000000000004</v>
      </c>
      <c r="K22" s="60" t="str">
        <f>LEFT($J$7,6)&amp;TableSales[[#This Row],[Salesperson]]&amp;RIGHT($K$7,10)</f>
        <v>sales.MARIO@email.com</v>
      </c>
      <c r="L22" s="60"/>
      <c r="M22" s="48" t="s">
        <v>15</v>
      </c>
      <c r="N22" s="51">
        <v>191</v>
      </c>
      <c r="O22" s="51">
        <v>140</v>
      </c>
      <c r="P22" s="51">
        <v>185</v>
      </c>
      <c r="Q22" s="51">
        <v>92</v>
      </c>
      <c r="R22" s="51">
        <v>608</v>
      </c>
      <c r="S22" s="2"/>
      <c r="T22" s="50" t="s">
        <v>229</v>
      </c>
      <c r="U22" s="49">
        <v>1986</v>
      </c>
    </row>
    <row r="23" spans="2:23" ht="15.6">
      <c r="B23" s="28">
        <v>42483</v>
      </c>
      <c r="C23" s="23" t="s">
        <v>17</v>
      </c>
      <c r="D23" s="23" t="s">
        <v>12</v>
      </c>
      <c r="E23" s="23" t="s">
        <v>11</v>
      </c>
      <c r="F23" s="23" t="s">
        <v>18</v>
      </c>
      <c r="G23" s="20">
        <v>6</v>
      </c>
      <c r="H23" s="30">
        <v>66</v>
      </c>
      <c r="I23" s="62"/>
      <c r="J23" s="59" t="str">
        <f>IF(TableSales[[#This Row],[Sales]]&gt;=70, TableSales[[#This Row],[Sales]]*0.05, "No commission")</f>
        <v>No commission</v>
      </c>
      <c r="K23" s="60" t="str">
        <f>LEFT($J$7,6)&amp;TableSales[[#This Row],[Salesperson]]&amp;RIGHT($K$7,10)</f>
        <v>sales.LAUREN@email.com</v>
      </c>
      <c r="L23" s="60"/>
      <c r="M23" s="48" t="s">
        <v>19</v>
      </c>
      <c r="N23" s="51">
        <v>126</v>
      </c>
      <c r="O23" s="51">
        <v>80</v>
      </c>
      <c r="P23" s="51">
        <v>184</v>
      </c>
      <c r="Q23" s="51">
        <v>91</v>
      </c>
      <c r="R23" s="51">
        <v>481</v>
      </c>
      <c r="S23" s="2"/>
      <c r="T23" s="50" t="s">
        <v>230</v>
      </c>
      <c r="U23" s="49">
        <v>816</v>
      </c>
    </row>
    <row r="24" spans="2:23" ht="15.6">
      <c r="B24" s="27">
        <v>42490</v>
      </c>
      <c r="C24" s="22" t="s">
        <v>24</v>
      </c>
      <c r="D24" s="22" t="s">
        <v>16</v>
      </c>
      <c r="E24" s="22" t="s">
        <v>19</v>
      </c>
      <c r="F24" s="22" t="s">
        <v>18</v>
      </c>
      <c r="G24" s="19">
        <v>5</v>
      </c>
      <c r="H24" s="29">
        <v>65</v>
      </c>
      <c r="I24" s="59"/>
      <c r="J24" s="59" t="str">
        <f>IF(TableSales[[#This Row],[Sales]]&gt;=70, TableSales[[#This Row],[Sales]]*0.05, "No commission")</f>
        <v>No commission</v>
      </c>
      <c r="K24" s="60" t="str">
        <f>LEFT($J$7,6)&amp;TableSales[[#This Row],[Salesperson]]&amp;RIGHT($K$7,10)</f>
        <v>sales.EDGAR@email.com</v>
      </c>
      <c r="L24" s="60"/>
      <c r="M24" s="48" t="s">
        <v>11</v>
      </c>
      <c r="N24" s="51">
        <v>177</v>
      </c>
      <c r="O24" s="51">
        <v>100</v>
      </c>
      <c r="P24" s="51">
        <v>146</v>
      </c>
      <c r="Q24" s="51">
        <v>63</v>
      </c>
      <c r="R24" s="51">
        <v>486</v>
      </c>
      <c r="S24" s="2"/>
      <c r="T24" s="48" t="s">
        <v>25</v>
      </c>
      <c r="U24" s="49">
        <v>6970</v>
      </c>
    </row>
    <row r="25" spans="2:23" ht="15.6">
      <c r="B25" s="28">
        <v>42499</v>
      </c>
      <c r="C25" s="23" t="s">
        <v>22</v>
      </c>
      <c r="D25" s="23" t="s">
        <v>16</v>
      </c>
      <c r="E25" s="23" t="s">
        <v>15</v>
      </c>
      <c r="F25" s="23" t="s">
        <v>18</v>
      </c>
      <c r="G25" s="20">
        <v>7</v>
      </c>
      <c r="H25" s="30">
        <v>84</v>
      </c>
      <c r="I25" s="62"/>
      <c r="J25" s="59">
        <f>IF(TableSales[[#This Row],[Sales]]&gt;=70, TableSales[[#This Row],[Sales]]*0.05, "No commission")</f>
        <v>4.2</v>
      </c>
      <c r="K25" s="60" t="str">
        <f>LEFT($J$7,6)&amp;TableSales[[#This Row],[Salesperson]]&amp;RIGHT($K$7,10)</f>
        <v>sales.MARIO@email.com</v>
      </c>
      <c r="L25" s="60"/>
      <c r="M25" s="48" t="s">
        <v>25</v>
      </c>
      <c r="N25" s="51">
        <v>178</v>
      </c>
      <c r="O25" s="51">
        <v>79</v>
      </c>
      <c r="P25" s="51">
        <v>168</v>
      </c>
      <c r="Q25" s="51">
        <v>48</v>
      </c>
      <c r="R25" s="51">
        <v>473</v>
      </c>
      <c r="T25" s="50" t="s">
        <v>229</v>
      </c>
      <c r="U25" s="49">
        <v>3565</v>
      </c>
    </row>
    <row r="26" spans="2:23" ht="15.6">
      <c r="B26" s="27">
        <v>42506</v>
      </c>
      <c r="C26" s="22" t="s">
        <v>20</v>
      </c>
      <c r="D26" s="22" t="s">
        <v>16</v>
      </c>
      <c r="E26" s="22" t="s">
        <v>11</v>
      </c>
      <c r="F26" s="22" t="s">
        <v>14</v>
      </c>
      <c r="G26" s="19">
        <v>5</v>
      </c>
      <c r="H26" s="29">
        <v>55</v>
      </c>
      <c r="I26" s="59"/>
      <c r="J26" s="59" t="str">
        <f>IF(TableSales[[#This Row],[Sales]]&gt;=70, TableSales[[#This Row],[Sales]]*0.05, "No commission")</f>
        <v>No commission</v>
      </c>
      <c r="K26" s="60" t="str">
        <f>LEFT($J$7,6)&amp;TableSales[[#This Row],[Salesperson]]&amp;RIGHT($K$7,10)</f>
        <v>sales.HARRY@email.com</v>
      </c>
      <c r="L26" s="60"/>
      <c r="M26" s="48" t="s">
        <v>223</v>
      </c>
      <c r="N26" s="51">
        <v>672</v>
      </c>
      <c r="O26" s="51">
        <v>399</v>
      </c>
      <c r="P26" s="51">
        <v>683</v>
      </c>
      <c r="Q26" s="51">
        <v>294</v>
      </c>
      <c r="R26" s="51">
        <v>2048</v>
      </c>
      <c r="T26" s="50" t="s">
        <v>230</v>
      </c>
      <c r="U26" s="49">
        <v>3405</v>
      </c>
    </row>
    <row r="27" spans="2:23" ht="15.6">
      <c r="B27" s="28">
        <v>42515</v>
      </c>
      <c r="C27" s="23" t="s">
        <v>24</v>
      </c>
      <c r="D27" s="23" t="s">
        <v>16</v>
      </c>
      <c r="E27" s="23" t="s">
        <v>15</v>
      </c>
      <c r="F27" s="21" t="s">
        <v>10</v>
      </c>
      <c r="G27" s="20">
        <v>1</v>
      </c>
      <c r="H27" s="30">
        <v>12</v>
      </c>
      <c r="I27" s="62"/>
      <c r="J27" s="59" t="str">
        <f>IF(TableSales[[#This Row],[Sales]]&gt;=70, TableSales[[#This Row],[Sales]]*0.05, "No commission")</f>
        <v>No commission</v>
      </c>
      <c r="K27" s="60" t="str">
        <f>LEFT($J$7,6)&amp;TableSales[[#This Row],[Salesperson]]&amp;RIGHT($K$7,10)</f>
        <v>sales.EDGAR@email.com</v>
      </c>
      <c r="L27" s="60"/>
      <c r="T27" s="48" t="s">
        <v>223</v>
      </c>
      <c r="U27" s="49">
        <v>26398</v>
      </c>
    </row>
    <row r="28" spans="2:23" ht="15.6">
      <c r="B28" s="27">
        <v>42520</v>
      </c>
      <c r="C28" s="24" t="s">
        <v>9</v>
      </c>
      <c r="D28" s="22" t="s">
        <v>21</v>
      </c>
      <c r="E28" s="22" t="s">
        <v>15</v>
      </c>
      <c r="F28" s="25" t="s">
        <v>18</v>
      </c>
      <c r="G28" s="19">
        <v>4</v>
      </c>
      <c r="H28" s="29">
        <v>48</v>
      </c>
      <c r="I28" s="59"/>
      <c r="J28" s="59" t="str">
        <f>IF(TableSales[[#This Row],[Sales]]&gt;=70, TableSales[[#This Row],[Sales]]*0.05, "No commission")</f>
        <v>No commission</v>
      </c>
      <c r="K28" s="60" t="str">
        <f>LEFT($J$7,6)&amp;TableSales[[#This Row],[Salesperson]]&amp;RIGHT($K$7,10)</f>
        <v>sales.MONIQUE@email.com</v>
      </c>
      <c r="L28" s="60"/>
      <c r="M28" s="48" t="s">
        <v>235</v>
      </c>
    </row>
    <row r="29" spans="2:23" ht="15.6">
      <c r="B29" s="28">
        <v>42525</v>
      </c>
      <c r="C29" s="23" t="s">
        <v>13</v>
      </c>
      <c r="D29" s="23" t="s">
        <v>21</v>
      </c>
      <c r="E29" s="23" t="s">
        <v>15</v>
      </c>
      <c r="F29" s="21" t="s">
        <v>10</v>
      </c>
      <c r="G29" s="20">
        <v>7</v>
      </c>
      <c r="H29" s="30">
        <v>84</v>
      </c>
      <c r="I29" s="62"/>
      <c r="J29" s="59">
        <f>IF(TableSales[[#This Row],[Sales]]&gt;=70, TableSales[[#This Row],[Sales]]*0.05, "No commission")</f>
        <v>4.2</v>
      </c>
      <c r="K29" s="60" t="str">
        <f>LEFT($J$7,6)&amp;TableSales[[#This Row],[Salesperson]]&amp;RIGHT($K$7,10)</f>
        <v>sales.PETE@email.com</v>
      </c>
      <c r="L29" s="60"/>
    </row>
    <row r="30" spans="2:23" ht="15.6">
      <c r="B30" s="27">
        <v>42534</v>
      </c>
      <c r="C30" s="22" t="s">
        <v>17</v>
      </c>
      <c r="D30" s="22" t="s">
        <v>23</v>
      </c>
      <c r="E30" s="22" t="s">
        <v>11</v>
      </c>
      <c r="F30" s="22" t="s">
        <v>14</v>
      </c>
      <c r="G30" s="19">
        <v>3</v>
      </c>
      <c r="H30" s="29">
        <v>33</v>
      </c>
      <c r="I30" s="59"/>
      <c r="J30" s="59" t="str">
        <f>IF(TableSales[[#This Row],[Sales]]&gt;=70, TableSales[[#This Row],[Sales]]*0.05, "No commission")</f>
        <v>No commission</v>
      </c>
      <c r="K30" s="60" t="str">
        <f>LEFT($J$7,6)&amp;TableSales[[#This Row],[Salesperson]]&amp;RIGHT($K$7,10)</f>
        <v>sales.LAUREN@email.com</v>
      </c>
      <c r="L30" s="60"/>
    </row>
    <row r="31" spans="2:23" ht="15.6">
      <c r="B31" s="28">
        <v>42542</v>
      </c>
      <c r="C31" s="21" t="s">
        <v>9</v>
      </c>
      <c r="D31" s="23" t="s">
        <v>16</v>
      </c>
      <c r="E31" s="23" t="s">
        <v>15</v>
      </c>
      <c r="F31" s="21" t="s">
        <v>10</v>
      </c>
      <c r="G31" s="20">
        <v>2</v>
      </c>
      <c r="H31" s="30">
        <v>24</v>
      </c>
      <c r="I31" s="62"/>
      <c r="J31" s="59" t="str">
        <f>IF(TableSales[[#This Row],[Sales]]&gt;=70, TableSales[[#This Row],[Sales]]*0.05, "No commission")</f>
        <v>No commission</v>
      </c>
      <c r="K31" s="60" t="str">
        <f>LEFT($J$7,6)&amp;TableSales[[#This Row],[Salesperson]]&amp;RIGHT($K$7,10)</f>
        <v>sales.MONIQUE@email.com</v>
      </c>
      <c r="L31" s="60"/>
    </row>
    <row r="32" spans="2:23" ht="15.6">
      <c r="B32" s="27">
        <v>42547</v>
      </c>
      <c r="C32" s="22" t="s">
        <v>17</v>
      </c>
      <c r="D32" s="22" t="s">
        <v>16</v>
      </c>
      <c r="E32" s="22" t="s">
        <v>15</v>
      </c>
      <c r="F32" s="22" t="s">
        <v>18</v>
      </c>
      <c r="G32" s="19">
        <v>6</v>
      </c>
      <c r="H32" s="29">
        <v>72</v>
      </c>
      <c r="I32" s="59"/>
      <c r="J32" s="59">
        <f>IF(TableSales[[#This Row],[Sales]]&gt;=70, TableSales[[#This Row],[Sales]]*0.05, "No commission")</f>
        <v>3.6</v>
      </c>
      <c r="K32" s="60" t="str">
        <f>LEFT($J$7,6)&amp;TableSales[[#This Row],[Salesperson]]&amp;RIGHT($K$7,10)</f>
        <v>sales.LAUREN@email.com</v>
      </c>
      <c r="L32" s="60"/>
      <c r="M32" t="s">
        <v>241</v>
      </c>
    </row>
    <row r="33" spans="2:18" ht="15.6">
      <c r="B33" s="28">
        <v>42553</v>
      </c>
      <c r="C33" s="23" t="s">
        <v>22</v>
      </c>
      <c r="D33" s="23" t="s">
        <v>23</v>
      </c>
      <c r="E33" s="23" t="s">
        <v>11</v>
      </c>
      <c r="F33" s="21" t="s">
        <v>10</v>
      </c>
      <c r="G33" s="20">
        <v>6</v>
      </c>
      <c r="H33" s="30">
        <v>66</v>
      </c>
      <c r="I33" s="62"/>
      <c r="J33" s="59" t="str">
        <f>IF(TableSales[[#This Row],[Sales]]&gt;=70, TableSales[[#This Row],[Sales]]*0.05, "No commission")</f>
        <v>No commission</v>
      </c>
      <c r="K33" s="60" t="str">
        <f>LEFT($J$7,6)&amp;TableSales[[#This Row],[Salesperson]]&amp;RIGHT($K$7,10)</f>
        <v>sales.MARIO@email.com</v>
      </c>
      <c r="L33" s="60"/>
      <c r="M33" s="55">
        <f>COUNTIF(B9:TableSales[Date], "&lt;5/1/2017")</f>
        <v>65</v>
      </c>
      <c r="N33" s="74" t="s">
        <v>237</v>
      </c>
      <c r="O33" s="74"/>
      <c r="P33" s="74"/>
      <c r="Q33" s="74"/>
      <c r="R33" s="74"/>
    </row>
    <row r="34" spans="2:18" ht="15.6">
      <c r="B34" s="27">
        <v>42559</v>
      </c>
      <c r="C34" s="22" t="s">
        <v>13</v>
      </c>
      <c r="D34" s="22" t="s">
        <v>12</v>
      </c>
      <c r="E34" s="22" t="s">
        <v>19</v>
      </c>
      <c r="F34" s="22" t="s">
        <v>18</v>
      </c>
      <c r="G34" s="19">
        <v>2</v>
      </c>
      <c r="H34" s="29">
        <v>26</v>
      </c>
      <c r="I34" s="59"/>
      <c r="J34" s="59" t="str">
        <f>IF(TableSales[[#This Row],[Sales]]&gt;=70, TableSales[[#This Row],[Sales]]*0.05, "No commission")</f>
        <v>No commission</v>
      </c>
      <c r="K34" s="60" t="str">
        <f>LEFT($J$7,6)&amp;TableSales[[#This Row],[Salesperson]]&amp;RIGHT($K$7,10)</f>
        <v>sales.PETE@email.com</v>
      </c>
      <c r="L34" s="60"/>
      <c r="M34" s="55">
        <f>COUNTIF(TableSales[Units],"&gt;5")</f>
        <v>173</v>
      </c>
      <c r="N34" s="74" t="s">
        <v>238</v>
      </c>
      <c r="O34" s="74"/>
      <c r="P34" s="74"/>
      <c r="Q34" s="74"/>
      <c r="R34" s="74"/>
    </row>
    <row r="35" spans="2:18" ht="15.6">
      <c r="B35" s="28">
        <v>42563</v>
      </c>
      <c r="C35" s="21" t="s">
        <v>9</v>
      </c>
      <c r="D35" s="23" t="s">
        <v>16</v>
      </c>
      <c r="E35" s="23" t="s">
        <v>15</v>
      </c>
      <c r="F35" s="21" t="s">
        <v>10</v>
      </c>
      <c r="G35" s="20">
        <v>4</v>
      </c>
      <c r="H35" s="30">
        <v>48</v>
      </c>
      <c r="I35" s="62"/>
      <c r="J35" s="59" t="str">
        <f>IF(TableSales[[#This Row],[Sales]]&gt;=70, TableSales[[#This Row],[Sales]]*0.05, "No commission")</f>
        <v>No commission</v>
      </c>
      <c r="K35" s="60" t="str">
        <f>LEFT($J$7,6)&amp;TableSales[[#This Row],[Salesperson]]&amp;RIGHT($K$7,10)</f>
        <v>sales.MONIQUE@email.com</v>
      </c>
      <c r="L35" s="60"/>
      <c r="M35" s="55">
        <f>COUNTIF(TableSales[Salesperson],"Mario")+COUNTIF(TableSales[Salesperson],"Monique")</f>
        <v>106</v>
      </c>
      <c r="N35" s="74" t="s">
        <v>239</v>
      </c>
      <c r="O35" s="74"/>
      <c r="P35" s="74"/>
      <c r="Q35" s="74"/>
      <c r="R35" s="74"/>
    </row>
    <row r="36" spans="2:18" ht="15.6">
      <c r="B36" s="27">
        <v>42570</v>
      </c>
      <c r="C36" s="22" t="s">
        <v>24</v>
      </c>
      <c r="D36" s="22" t="s">
        <v>16</v>
      </c>
      <c r="E36" s="22" t="s">
        <v>19</v>
      </c>
      <c r="F36" s="21" t="s">
        <v>10</v>
      </c>
      <c r="G36" s="19">
        <v>1</v>
      </c>
      <c r="H36" s="29">
        <v>13</v>
      </c>
      <c r="I36" s="59"/>
      <c r="J36" s="59" t="str">
        <f>IF(TableSales[[#This Row],[Sales]]&gt;=70, TableSales[[#This Row],[Sales]]*0.05, "No commission")</f>
        <v>No commission</v>
      </c>
      <c r="K36" s="60" t="str">
        <f>LEFT($J$7,6)&amp;TableSales[[#This Row],[Salesperson]]&amp;RIGHT($K$7,10)</f>
        <v>sales.EDGAR@email.com</v>
      </c>
      <c r="L36" s="60"/>
      <c r="M36" s="55">
        <f>COUNTIF(TableSales[Salesperson],"Mario")</f>
        <v>78</v>
      </c>
      <c r="N36" s="74" t="s">
        <v>240</v>
      </c>
      <c r="O36" s="74"/>
      <c r="P36" s="74"/>
      <c r="Q36" s="74"/>
      <c r="R36" s="74"/>
    </row>
    <row r="37" spans="2:18" ht="15.6">
      <c r="B37" s="28">
        <v>42577</v>
      </c>
      <c r="C37" s="23" t="s">
        <v>22</v>
      </c>
      <c r="D37" s="23" t="s">
        <v>12</v>
      </c>
      <c r="E37" s="23" t="s">
        <v>15</v>
      </c>
      <c r="F37" s="23" t="s">
        <v>18</v>
      </c>
      <c r="G37" s="20">
        <v>1</v>
      </c>
      <c r="H37" s="30">
        <v>12</v>
      </c>
      <c r="I37" s="62"/>
      <c r="J37" s="59" t="str">
        <f>IF(TableSales[[#This Row],[Sales]]&gt;=70, TableSales[[#This Row],[Sales]]*0.05, "No commission")</f>
        <v>No commission</v>
      </c>
      <c r="K37" s="60" t="str">
        <f>LEFT($J$7,6)&amp;TableSales[[#This Row],[Salesperson]]&amp;RIGHT($K$7,10)</f>
        <v>sales.MARIO@email.com</v>
      </c>
      <c r="L37" s="60"/>
    </row>
    <row r="38" spans="2:18" ht="15.6">
      <c r="B38" s="27">
        <v>42582</v>
      </c>
      <c r="C38" s="22" t="s">
        <v>24</v>
      </c>
      <c r="D38" s="22" t="s">
        <v>16</v>
      </c>
      <c r="E38" s="22" t="s">
        <v>11</v>
      </c>
      <c r="F38" s="22" t="s">
        <v>18</v>
      </c>
      <c r="G38" s="19">
        <v>2</v>
      </c>
      <c r="H38" s="29">
        <v>22</v>
      </c>
      <c r="I38" s="59"/>
      <c r="J38" s="59" t="str">
        <f>IF(TableSales[[#This Row],[Sales]]&gt;=70, TableSales[[#This Row],[Sales]]*0.05, "No commission")</f>
        <v>No commission</v>
      </c>
      <c r="K38" s="60" t="str">
        <f>LEFT($J$7,6)&amp;TableSales[[#This Row],[Salesperson]]&amp;RIGHT($K$7,10)</f>
        <v>sales.EDGAR@email.com</v>
      </c>
      <c r="L38" s="60"/>
    </row>
    <row r="39" spans="2:18" ht="15.6">
      <c r="B39" s="28">
        <v>42589</v>
      </c>
      <c r="C39" s="21" t="s">
        <v>9</v>
      </c>
      <c r="D39" s="23" t="s">
        <v>12</v>
      </c>
      <c r="E39" s="23" t="s">
        <v>19</v>
      </c>
      <c r="F39" s="26" t="s">
        <v>18</v>
      </c>
      <c r="G39" s="20">
        <v>5</v>
      </c>
      <c r="H39" s="30">
        <v>65</v>
      </c>
      <c r="I39" s="62"/>
      <c r="J39" s="59" t="str">
        <f>IF(TableSales[[#This Row],[Sales]]&gt;=70, TableSales[[#This Row],[Sales]]*0.05, "No commission")</f>
        <v>No commission</v>
      </c>
      <c r="K39" s="60" t="str">
        <f>LEFT($J$7,6)&amp;TableSales[[#This Row],[Salesperson]]&amp;RIGHT($K$7,10)</f>
        <v>sales.MONIQUE@email.com</v>
      </c>
      <c r="L39" s="60"/>
    </row>
    <row r="40" spans="2:18" ht="15.6">
      <c r="B40" s="27">
        <v>42595</v>
      </c>
      <c r="C40" s="22" t="s">
        <v>24</v>
      </c>
      <c r="D40" s="22" t="s">
        <v>12</v>
      </c>
      <c r="E40" s="22" t="s">
        <v>15</v>
      </c>
      <c r="F40" s="22" t="s">
        <v>10</v>
      </c>
      <c r="G40" s="19">
        <v>5</v>
      </c>
      <c r="H40" s="29">
        <v>60</v>
      </c>
      <c r="I40" s="59"/>
      <c r="J40" s="59" t="str">
        <f>IF(TableSales[[#This Row],[Sales]]&gt;=70, TableSales[[#This Row],[Sales]]*0.05, "No commission")</f>
        <v>No commission</v>
      </c>
      <c r="K40" s="60" t="str">
        <f>LEFT($J$7,6)&amp;TableSales[[#This Row],[Salesperson]]&amp;RIGHT($K$7,10)</f>
        <v>sales.EDGAR@email.com</v>
      </c>
      <c r="L40" s="60"/>
    </row>
    <row r="41" spans="2:18" ht="15.6">
      <c r="B41" s="28">
        <v>42602</v>
      </c>
      <c r="C41" s="23" t="s">
        <v>24</v>
      </c>
      <c r="D41" s="23" t="s">
        <v>21</v>
      </c>
      <c r="E41" s="23" t="s">
        <v>19</v>
      </c>
      <c r="F41" s="23" t="s">
        <v>18</v>
      </c>
      <c r="G41" s="20">
        <v>8</v>
      </c>
      <c r="H41" s="30">
        <v>104</v>
      </c>
      <c r="I41" s="62"/>
      <c r="J41" s="59">
        <f>IF(TableSales[[#This Row],[Sales]]&gt;=70, TableSales[[#This Row],[Sales]]*0.05, "No commission")</f>
        <v>5.2</v>
      </c>
      <c r="K41" s="60" t="str">
        <f>LEFT($J$7,6)&amp;TableSales[[#This Row],[Salesperson]]&amp;RIGHT($K$7,10)</f>
        <v>sales.EDGAR@email.com</v>
      </c>
      <c r="L41" s="60"/>
      <c r="M41" s="16" t="s">
        <v>249</v>
      </c>
      <c r="N41" s="16" t="s">
        <v>250</v>
      </c>
      <c r="O41" s="16">
        <f>PRODUCT(G9,H9)</f>
        <v>11</v>
      </c>
    </row>
    <row r="42" spans="2:18" ht="15.6">
      <c r="B42" s="27">
        <v>42607</v>
      </c>
      <c r="C42" s="22" t="s">
        <v>17</v>
      </c>
      <c r="D42" s="22" t="s">
        <v>12</v>
      </c>
      <c r="E42" s="22" t="s">
        <v>15</v>
      </c>
      <c r="F42" s="22" t="s">
        <v>10</v>
      </c>
      <c r="G42" s="19">
        <v>4</v>
      </c>
      <c r="H42" s="29">
        <v>48</v>
      </c>
      <c r="I42" s="59"/>
      <c r="J42" s="59" t="str">
        <f>IF(TableSales[[#This Row],[Sales]]&gt;=70, TableSales[[#This Row],[Sales]]*0.05, "No commission")</f>
        <v>No commission</v>
      </c>
      <c r="K42" s="60" t="str">
        <f>LEFT($J$7,6)&amp;TableSales[[#This Row],[Salesperson]]&amp;RIGHT($K$7,10)</f>
        <v>sales.LAUREN@email.com</v>
      </c>
      <c r="L42" s="60"/>
      <c r="M42" s="63">
        <f>SUM(H9:H11,H13:H15)</f>
        <v>319</v>
      </c>
      <c r="N42" s="16"/>
      <c r="O42" s="16"/>
    </row>
    <row r="43" spans="2:18" ht="15.6">
      <c r="B43" s="28">
        <v>42614</v>
      </c>
      <c r="C43" s="23" t="s">
        <v>13</v>
      </c>
      <c r="D43" s="23" t="s">
        <v>16</v>
      </c>
      <c r="E43" s="23" t="s">
        <v>11</v>
      </c>
      <c r="F43" s="23" t="s">
        <v>10</v>
      </c>
      <c r="G43" s="20">
        <v>6</v>
      </c>
      <c r="H43" s="30">
        <v>66</v>
      </c>
      <c r="I43" s="62"/>
      <c r="J43" s="59" t="str">
        <f>IF(TableSales[[#This Row],[Sales]]&gt;=70, TableSales[[#This Row],[Sales]]*0.05, "No commission")</f>
        <v>No commission</v>
      </c>
      <c r="K43" s="60" t="str">
        <f>LEFT($J$7,6)&amp;TableSales[[#This Row],[Salesperson]]&amp;RIGHT($K$7,10)</f>
        <v>sales.PETE@email.com</v>
      </c>
      <c r="L43" s="60"/>
      <c r="M43" s="16">
        <f>SUM(1,2,3)</f>
        <v>6</v>
      </c>
      <c r="N43" s="16" t="s">
        <v>251</v>
      </c>
      <c r="O43" s="63">
        <f>H10/G10</f>
        <v>12</v>
      </c>
    </row>
    <row r="44" spans="2:18" ht="15.6">
      <c r="B44" s="27">
        <v>42620</v>
      </c>
      <c r="C44" s="22" t="s">
        <v>17</v>
      </c>
      <c r="D44" s="22" t="s">
        <v>16</v>
      </c>
      <c r="E44" s="22" t="s">
        <v>19</v>
      </c>
      <c r="F44" s="22" t="s">
        <v>14</v>
      </c>
      <c r="G44" s="19">
        <v>7</v>
      </c>
      <c r="H44" s="29">
        <v>91</v>
      </c>
      <c r="I44" s="59"/>
      <c r="J44" s="59">
        <f>IF(TableSales[[#This Row],[Sales]]&gt;=70, TableSales[[#This Row],[Sales]]*0.05, "No commission")</f>
        <v>4.55</v>
      </c>
      <c r="K44" s="60" t="str">
        <f>LEFT($J$7,6)&amp;TableSales[[#This Row],[Salesperson]]&amp;RIGHT($K$7,10)</f>
        <v>sales.LAUREN@email.com</v>
      </c>
      <c r="L44" s="60"/>
      <c r="M44" s="16">
        <f>SUMIF(TableSales[Units],"&gt;=4")</f>
        <v>1731</v>
      </c>
      <c r="N44" s="16"/>
      <c r="O44" s="16"/>
    </row>
    <row r="45" spans="2:18" ht="15.6">
      <c r="B45" s="28">
        <v>42623</v>
      </c>
      <c r="C45" s="23" t="s">
        <v>13</v>
      </c>
      <c r="D45" s="23" t="s">
        <v>21</v>
      </c>
      <c r="E45" s="23" t="s">
        <v>11</v>
      </c>
      <c r="F45" s="23" t="s">
        <v>14</v>
      </c>
      <c r="G45" s="20">
        <v>4</v>
      </c>
      <c r="H45" s="30">
        <v>44</v>
      </c>
      <c r="I45" s="62"/>
      <c r="J45" s="59" t="str">
        <f>IF(TableSales[[#This Row],[Sales]]&gt;=70, TableSales[[#This Row],[Sales]]*0.05, "No commission")</f>
        <v>No commission</v>
      </c>
      <c r="K45" s="60" t="str">
        <f>LEFT($J$7,6)&amp;TableSales[[#This Row],[Salesperson]]&amp;RIGHT($K$7,10)</f>
        <v>sales.PETE@email.com</v>
      </c>
      <c r="L45" s="60"/>
      <c r="M45" s="16">
        <f>SUMIF(TableSales[Modality],"Website",TableSales[Sales])</f>
        <v>7556</v>
      </c>
      <c r="N45" s="16" t="s">
        <v>252</v>
      </c>
      <c r="O45" s="63">
        <f>H9-H10</f>
        <v>-85</v>
      </c>
    </row>
    <row r="46" spans="2:18" ht="15.6">
      <c r="B46" s="27">
        <v>42626</v>
      </c>
      <c r="C46" s="22" t="s">
        <v>13</v>
      </c>
      <c r="D46" s="22" t="s">
        <v>12</v>
      </c>
      <c r="E46" s="22" t="s">
        <v>19</v>
      </c>
      <c r="F46" s="22" t="s">
        <v>18</v>
      </c>
      <c r="G46" s="19">
        <v>6</v>
      </c>
      <c r="H46" s="29">
        <v>78</v>
      </c>
      <c r="I46" s="59"/>
      <c r="J46" s="59">
        <f>IF(TableSales[[#This Row],[Sales]]&gt;=70, TableSales[[#This Row],[Sales]]*0.05, "No commission")</f>
        <v>3.9000000000000004</v>
      </c>
      <c r="K46" s="60" t="str">
        <f>LEFT($J$7,6)&amp;TableSales[[#This Row],[Salesperson]]&amp;RIGHT($K$7,10)</f>
        <v>sales.PETE@email.com</v>
      </c>
      <c r="L46" s="60"/>
    </row>
    <row r="47" spans="2:18" ht="15.6">
      <c r="B47" s="28">
        <v>42632</v>
      </c>
      <c r="C47" s="23" t="s">
        <v>17</v>
      </c>
      <c r="D47" s="23" t="s">
        <v>12</v>
      </c>
      <c r="E47" s="23" t="s">
        <v>15</v>
      </c>
      <c r="F47" s="23" t="s">
        <v>10</v>
      </c>
      <c r="G47" s="20">
        <v>1</v>
      </c>
      <c r="H47" s="30">
        <v>12</v>
      </c>
      <c r="I47" s="62"/>
      <c r="J47" s="59" t="str">
        <f>IF(TableSales[[#This Row],[Sales]]&gt;=70, TableSales[[#This Row],[Sales]]*0.05, "No commission")</f>
        <v>No commission</v>
      </c>
      <c r="K47" s="60" t="str">
        <f>LEFT($J$7,6)&amp;TableSales[[#This Row],[Salesperson]]&amp;RIGHT($K$7,10)</f>
        <v>sales.LAUREN@email.com</v>
      </c>
      <c r="L47" s="60"/>
    </row>
    <row r="48" spans="2:18" ht="15.6">
      <c r="B48" s="27">
        <v>42639</v>
      </c>
      <c r="C48" s="22" t="s">
        <v>22</v>
      </c>
      <c r="D48" s="22" t="s">
        <v>16</v>
      </c>
      <c r="E48" s="22" t="s">
        <v>15</v>
      </c>
      <c r="F48" s="22" t="s">
        <v>18</v>
      </c>
      <c r="G48" s="19">
        <v>4</v>
      </c>
      <c r="H48" s="29">
        <v>48</v>
      </c>
      <c r="I48" s="59"/>
      <c r="J48" s="59" t="str">
        <f>IF(TableSales[[#This Row],[Sales]]&gt;=70, TableSales[[#This Row],[Sales]]*0.05, "No commission")</f>
        <v>No commission</v>
      </c>
      <c r="K48" s="60" t="str">
        <f>LEFT($J$7,6)&amp;TableSales[[#This Row],[Salesperson]]&amp;RIGHT($K$7,10)</f>
        <v>sales.MARIO@email.com</v>
      </c>
      <c r="L48" s="60"/>
    </row>
    <row r="49" spans="2:12" ht="15.6">
      <c r="B49" s="28">
        <v>42643</v>
      </c>
      <c r="C49" s="23" t="s">
        <v>24</v>
      </c>
      <c r="D49" s="23" t="s">
        <v>16</v>
      </c>
      <c r="E49" s="23" t="s">
        <v>11</v>
      </c>
      <c r="F49" s="23" t="s">
        <v>10</v>
      </c>
      <c r="G49" s="20">
        <v>6</v>
      </c>
      <c r="H49" s="30">
        <v>66</v>
      </c>
      <c r="I49" s="62"/>
      <c r="J49" s="59" t="str">
        <f>IF(TableSales[[#This Row],[Sales]]&gt;=70, TableSales[[#This Row],[Sales]]*0.05, "No commission")</f>
        <v>No commission</v>
      </c>
      <c r="K49" s="60" t="str">
        <f>LEFT($J$7,6)&amp;TableSales[[#This Row],[Salesperson]]&amp;RIGHT($K$7,10)</f>
        <v>sales.EDGAR@email.com</v>
      </c>
      <c r="L49" s="60"/>
    </row>
    <row r="50" spans="2:12" ht="15.6">
      <c r="B50" s="27">
        <v>42649</v>
      </c>
      <c r="C50" s="22" t="s">
        <v>17</v>
      </c>
      <c r="D50" s="22" t="s">
        <v>16</v>
      </c>
      <c r="E50" s="22" t="s">
        <v>15</v>
      </c>
      <c r="F50" s="22" t="s">
        <v>18</v>
      </c>
      <c r="G50" s="19">
        <v>3</v>
      </c>
      <c r="H50" s="29">
        <v>36</v>
      </c>
      <c r="I50" s="59"/>
      <c r="J50" s="59" t="str">
        <f>IF(TableSales[[#This Row],[Sales]]&gt;=70, TableSales[[#This Row],[Sales]]*0.05, "No commission")</f>
        <v>No commission</v>
      </c>
      <c r="K50" s="60" t="str">
        <f>LEFT($J$7,6)&amp;TableSales[[#This Row],[Salesperson]]&amp;RIGHT($K$7,10)</f>
        <v>sales.LAUREN@email.com</v>
      </c>
      <c r="L50" s="60"/>
    </row>
    <row r="51" spans="2:12" ht="15.6">
      <c r="B51" s="28">
        <v>42652</v>
      </c>
      <c r="C51" s="23" t="s">
        <v>22</v>
      </c>
      <c r="D51" s="23" t="s">
        <v>12</v>
      </c>
      <c r="E51" s="23" t="s">
        <v>19</v>
      </c>
      <c r="F51" s="23" t="s">
        <v>14</v>
      </c>
      <c r="G51" s="20">
        <v>2</v>
      </c>
      <c r="H51" s="30">
        <v>26</v>
      </c>
      <c r="I51" s="62"/>
      <c r="J51" s="59" t="str">
        <f>IF(TableSales[[#This Row],[Sales]]&gt;=70, TableSales[[#This Row],[Sales]]*0.05, "No commission")</f>
        <v>No commission</v>
      </c>
      <c r="K51" s="60" t="str">
        <f>LEFT($J$7,6)&amp;TableSales[[#This Row],[Salesperson]]&amp;RIGHT($K$7,10)</f>
        <v>sales.MARIO@email.com</v>
      </c>
      <c r="L51" s="60"/>
    </row>
    <row r="52" spans="2:12" ht="15.6">
      <c r="B52" s="27">
        <v>42657</v>
      </c>
      <c r="C52" s="22" t="s">
        <v>24</v>
      </c>
      <c r="D52" s="22" t="s">
        <v>16</v>
      </c>
      <c r="E52" s="22" t="s">
        <v>15</v>
      </c>
      <c r="F52" s="22" t="s">
        <v>18</v>
      </c>
      <c r="G52" s="19">
        <v>1</v>
      </c>
      <c r="H52" s="29">
        <v>12</v>
      </c>
      <c r="I52" s="59"/>
      <c r="J52" s="59" t="str">
        <f>IF(TableSales[[#This Row],[Sales]]&gt;=70, TableSales[[#This Row],[Sales]]*0.05, "No commission")</f>
        <v>No commission</v>
      </c>
      <c r="K52" s="60" t="str">
        <f>LEFT($J$7,6)&amp;TableSales[[#This Row],[Salesperson]]&amp;RIGHT($K$7,10)</f>
        <v>sales.EDGAR@email.com</v>
      </c>
      <c r="L52" s="60"/>
    </row>
    <row r="53" spans="2:12" ht="15.6">
      <c r="B53" s="28">
        <v>42662</v>
      </c>
      <c r="C53" s="23" t="s">
        <v>17</v>
      </c>
      <c r="D53" s="23" t="s">
        <v>23</v>
      </c>
      <c r="E53" s="23" t="s">
        <v>15</v>
      </c>
      <c r="F53" s="23" t="s">
        <v>18</v>
      </c>
      <c r="G53" s="20">
        <v>2</v>
      </c>
      <c r="H53" s="30">
        <v>24</v>
      </c>
      <c r="I53" s="62"/>
      <c r="J53" s="59" t="str">
        <f>IF(TableSales[[#This Row],[Sales]]&gt;=70, TableSales[[#This Row],[Sales]]*0.05, "No commission")</f>
        <v>No commission</v>
      </c>
      <c r="K53" s="60" t="str">
        <f>LEFT($J$7,6)&amp;TableSales[[#This Row],[Salesperson]]&amp;RIGHT($K$7,10)</f>
        <v>sales.LAUREN@email.com</v>
      </c>
      <c r="L53" s="60"/>
    </row>
    <row r="54" spans="2:12" ht="15.6">
      <c r="B54" s="27">
        <v>42666</v>
      </c>
      <c r="C54" s="24" t="s">
        <v>9</v>
      </c>
      <c r="D54" s="22" t="s">
        <v>21</v>
      </c>
      <c r="E54" s="22" t="s">
        <v>11</v>
      </c>
      <c r="F54" s="25" t="s">
        <v>14</v>
      </c>
      <c r="G54" s="19">
        <v>8</v>
      </c>
      <c r="H54" s="29">
        <v>88</v>
      </c>
      <c r="I54" s="59"/>
      <c r="J54" s="59">
        <f>IF(TableSales[[#This Row],[Sales]]&gt;=70, TableSales[[#This Row],[Sales]]*0.05, "No commission")</f>
        <v>4.4000000000000004</v>
      </c>
      <c r="K54" s="60" t="str">
        <f>LEFT($J$7,6)&amp;TableSales[[#This Row],[Salesperson]]&amp;RIGHT($K$7,10)</f>
        <v>sales.MONIQUE@email.com</v>
      </c>
      <c r="L54" s="60"/>
    </row>
    <row r="55" spans="2:12" ht="15.6">
      <c r="B55" s="28">
        <v>42669</v>
      </c>
      <c r="C55" s="23" t="s">
        <v>13</v>
      </c>
      <c r="D55" s="23" t="s">
        <v>16</v>
      </c>
      <c r="E55" s="23" t="s">
        <v>19</v>
      </c>
      <c r="F55" s="23" t="s">
        <v>18</v>
      </c>
      <c r="G55" s="20">
        <v>6</v>
      </c>
      <c r="H55" s="30">
        <v>78</v>
      </c>
      <c r="I55" s="62"/>
      <c r="J55" s="59">
        <f>IF(TableSales[[#This Row],[Sales]]&gt;=70, TableSales[[#This Row],[Sales]]*0.05, "No commission")</f>
        <v>3.9000000000000004</v>
      </c>
      <c r="K55" s="60" t="str">
        <f>LEFT($J$7,6)&amp;TableSales[[#This Row],[Salesperson]]&amp;RIGHT($K$7,10)</f>
        <v>sales.PETE@email.com</v>
      </c>
      <c r="L55" s="60"/>
    </row>
    <row r="56" spans="2:12" ht="15.6">
      <c r="B56" s="27">
        <v>42673</v>
      </c>
      <c r="C56" s="22" t="s">
        <v>20</v>
      </c>
      <c r="D56" s="22" t="s">
        <v>23</v>
      </c>
      <c r="E56" s="22" t="s">
        <v>19</v>
      </c>
      <c r="F56" s="22" t="s">
        <v>10</v>
      </c>
      <c r="G56" s="19">
        <v>7</v>
      </c>
      <c r="H56" s="29">
        <v>91</v>
      </c>
      <c r="I56" s="59"/>
      <c r="J56" s="59">
        <f>IF(TableSales[[#This Row],[Sales]]&gt;=70, TableSales[[#This Row],[Sales]]*0.05, "No commission")</f>
        <v>4.55</v>
      </c>
      <c r="K56" s="60" t="str">
        <f>LEFT($J$7,6)&amp;TableSales[[#This Row],[Salesperson]]&amp;RIGHT($K$7,10)</f>
        <v>sales.HARRY@email.com</v>
      </c>
      <c r="L56" s="60"/>
    </row>
    <row r="57" spans="2:12" ht="15.6">
      <c r="B57" s="28">
        <v>42679</v>
      </c>
      <c r="C57" s="23" t="s">
        <v>24</v>
      </c>
      <c r="D57" s="23" t="s">
        <v>16</v>
      </c>
      <c r="E57" s="23" t="s">
        <v>11</v>
      </c>
      <c r="F57" s="23" t="s">
        <v>14</v>
      </c>
      <c r="G57" s="20">
        <v>2</v>
      </c>
      <c r="H57" s="30">
        <v>22</v>
      </c>
      <c r="I57" s="62"/>
      <c r="J57" s="59" t="str">
        <f>IF(TableSales[[#This Row],[Sales]]&gt;=70, TableSales[[#This Row],[Sales]]*0.05, "No commission")</f>
        <v>No commission</v>
      </c>
      <c r="K57" s="60" t="str">
        <f>LEFT($J$7,6)&amp;TableSales[[#This Row],[Salesperson]]&amp;RIGHT($K$7,10)</f>
        <v>sales.EDGAR@email.com</v>
      </c>
      <c r="L57" s="60"/>
    </row>
    <row r="58" spans="2:12" ht="15.6">
      <c r="B58" s="27">
        <v>42684</v>
      </c>
      <c r="C58" s="22" t="s">
        <v>13</v>
      </c>
      <c r="D58" s="22" t="s">
        <v>21</v>
      </c>
      <c r="E58" s="22" t="s">
        <v>15</v>
      </c>
      <c r="F58" s="22" t="s">
        <v>10</v>
      </c>
      <c r="G58" s="19">
        <v>6</v>
      </c>
      <c r="H58" s="29">
        <v>72</v>
      </c>
      <c r="I58" s="59"/>
      <c r="J58" s="59">
        <f>IF(TableSales[[#This Row],[Sales]]&gt;=70, TableSales[[#This Row],[Sales]]*0.05, "No commission")</f>
        <v>3.6</v>
      </c>
      <c r="K58" s="60" t="str">
        <f>LEFT($J$7,6)&amp;TableSales[[#This Row],[Salesperson]]&amp;RIGHT($K$7,10)</f>
        <v>sales.PETE@email.com</v>
      </c>
      <c r="L58" s="60"/>
    </row>
    <row r="59" spans="2:12" ht="15.6">
      <c r="B59" s="28">
        <v>42689</v>
      </c>
      <c r="C59" s="23" t="s">
        <v>22</v>
      </c>
      <c r="D59" s="23" t="s">
        <v>21</v>
      </c>
      <c r="E59" s="23" t="s">
        <v>15</v>
      </c>
      <c r="F59" s="23" t="s">
        <v>18</v>
      </c>
      <c r="G59" s="20">
        <v>6</v>
      </c>
      <c r="H59" s="30">
        <v>72</v>
      </c>
      <c r="I59" s="62"/>
      <c r="J59" s="59">
        <f>IF(TableSales[[#This Row],[Sales]]&gt;=70, TableSales[[#This Row],[Sales]]*0.05, "No commission")</f>
        <v>3.6</v>
      </c>
      <c r="K59" s="60" t="str">
        <f>LEFT($J$7,6)&amp;TableSales[[#This Row],[Salesperson]]&amp;RIGHT($K$7,10)</f>
        <v>sales.MARIO@email.com</v>
      </c>
      <c r="L59" s="60"/>
    </row>
    <row r="60" spans="2:12" ht="15.6">
      <c r="B60" s="27">
        <v>42694</v>
      </c>
      <c r="C60" s="22" t="s">
        <v>22</v>
      </c>
      <c r="D60" s="22" t="s">
        <v>12</v>
      </c>
      <c r="E60" s="22" t="s">
        <v>15</v>
      </c>
      <c r="F60" s="22" t="s">
        <v>10</v>
      </c>
      <c r="G60" s="19">
        <v>8</v>
      </c>
      <c r="H60" s="29">
        <v>96</v>
      </c>
      <c r="I60" s="59"/>
      <c r="J60" s="59">
        <f>IF(TableSales[[#This Row],[Sales]]&gt;=70, TableSales[[#This Row],[Sales]]*0.05, "No commission")</f>
        <v>4.8000000000000007</v>
      </c>
      <c r="K60" s="60" t="str">
        <f>LEFT($J$7,6)&amp;TableSales[[#This Row],[Salesperson]]&amp;RIGHT($K$7,10)</f>
        <v>sales.MARIO@email.com</v>
      </c>
      <c r="L60" s="60"/>
    </row>
    <row r="61" spans="2:12" ht="15.6">
      <c r="B61" s="28">
        <v>42697</v>
      </c>
      <c r="C61" s="23" t="s">
        <v>17</v>
      </c>
      <c r="D61" s="23" t="s">
        <v>16</v>
      </c>
      <c r="E61" s="23" t="s">
        <v>11</v>
      </c>
      <c r="F61" s="23" t="s">
        <v>14</v>
      </c>
      <c r="G61" s="20">
        <v>3</v>
      </c>
      <c r="H61" s="30">
        <v>33</v>
      </c>
      <c r="I61" s="62"/>
      <c r="J61" s="59" t="str">
        <f>IF(TableSales[[#This Row],[Sales]]&gt;=70, TableSales[[#This Row],[Sales]]*0.05, "No commission")</f>
        <v>No commission</v>
      </c>
      <c r="K61" s="60" t="str">
        <f>LEFT($J$7,6)&amp;TableSales[[#This Row],[Salesperson]]&amp;RIGHT($K$7,10)</f>
        <v>sales.LAUREN@email.com</v>
      </c>
      <c r="L61" s="60"/>
    </row>
    <row r="62" spans="2:12" ht="15.6">
      <c r="B62" s="27">
        <v>42702</v>
      </c>
      <c r="C62" s="22" t="s">
        <v>24</v>
      </c>
      <c r="D62" s="22" t="s">
        <v>21</v>
      </c>
      <c r="E62" s="22" t="s">
        <v>15</v>
      </c>
      <c r="F62" s="22" t="s">
        <v>10</v>
      </c>
      <c r="G62" s="19">
        <v>2</v>
      </c>
      <c r="H62" s="29">
        <v>24</v>
      </c>
      <c r="I62" s="59"/>
      <c r="J62" s="59" t="str">
        <f>IF(TableSales[[#This Row],[Sales]]&gt;=70, TableSales[[#This Row],[Sales]]*0.05, "No commission")</f>
        <v>No commission</v>
      </c>
      <c r="K62" s="60" t="str">
        <f>LEFT($J$7,6)&amp;TableSales[[#This Row],[Salesperson]]&amp;RIGHT($K$7,10)</f>
        <v>sales.EDGAR@email.com</v>
      </c>
      <c r="L62" s="60"/>
    </row>
    <row r="63" spans="2:12" ht="15.6">
      <c r="B63" s="28">
        <v>42704</v>
      </c>
      <c r="C63" s="23" t="s">
        <v>20</v>
      </c>
      <c r="D63" s="23" t="s">
        <v>16</v>
      </c>
      <c r="E63" s="23" t="s">
        <v>15</v>
      </c>
      <c r="F63" s="23" t="s">
        <v>14</v>
      </c>
      <c r="G63" s="20">
        <v>1</v>
      </c>
      <c r="H63" s="30">
        <v>12</v>
      </c>
      <c r="I63" s="62"/>
      <c r="J63" s="59" t="str">
        <f>IF(TableSales[[#This Row],[Sales]]&gt;=70, TableSales[[#This Row],[Sales]]*0.05, "No commission")</f>
        <v>No commission</v>
      </c>
      <c r="K63" s="60" t="str">
        <f>LEFT($J$7,6)&amp;TableSales[[#This Row],[Salesperson]]&amp;RIGHT($K$7,10)</f>
        <v>sales.HARRY@email.com</v>
      </c>
      <c r="L63" s="60"/>
    </row>
    <row r="64" spans="2:12" ht="15.6">
      <c r="B64" s="27">
        <v>42708</v>
      </c>
      <c r="C64" s="22" t="s">
        <v>13</v>
      </c>
      <c r="D64" s="22" t="s">
        <v>16</v>
      </c>
      <c r="E64" s="22" t="s">
        <v>15</v>
      </c>
      <c r="F64" s="22" t="s">
        <v>10</v>
      </c>
      <c r="G64" s="19">
        <v>8</v>
      </c>
      <c r="H64" s="29">
        <v>96</v>
      </c>
      <c r="I64" s="59"/>
      <c r="J64" s="59">
        <f>IF(TableSales[[#This Row],[Sales]]&gt;=70, TableSales[[#This Row],[Sales]]*0.05, "No commission")</f>
        <v>4.8000000000000007</v>
      </c>
      <c r="K64" s="60" t="str">
        <f>LEFT($J$7,6)&amp;TableSales[[#This Row],[Salesperson]]&amp;RIGHT($K$7,10)</f>
        <v>sales.PETE@email.com</v>
      </c>
      <c r="L64" s="60"/>
    </row>
    <row r="65" spans="2:12" ht="15.6">
      <c r="B65" s="28">
        <v>42711</v>
      </c>
      <c r="C65" s="23" t="s">
        <v>20</v>
      </c>
      <c r="D65" s="23" t="s">
        <v>21</v>
      </c>
      <c r="E65" s="23" t="s">
        <v>19</v>
      </c>
      <c r="F65" s="23" t="s">
        <v>18</v>
      </c>
      <c r="G65" s="20">
        <v>1</v>
      </c>
      <c r="H65" s="30">
        <v>13</v>
      </c>
      <c r="I65" s="62"/>
      <c r="J65" s="59" t="str">
        <f>IF(TableSales[[#This Row],[Sales]]&gt;=70, TableSales[[#This Row],[Sales]]*0.05, "No commission")</f>
        <v>No commission</v>
      </c>
      <c r="K65" s="60" t="str">
        <f>LEFT($J$7,6)&amp;TableSales[[#This Row],[Salesperson]]&amp;RIGHT($K$7,10)</f>
        <v>sales.HARRY@email.com</v>
      </c>
      <c r="L65" s="60"/>
    </row>
    <row r="66" spans="2:12" ht="15.6">
      <c r="B66" s="27">
        <v>42713</v>
      </c>
      <c r="C66" s="22" t="s">
        <v>22</v>
      </c>
      <c r="D66" s="22" t="s">
        <v>23</v>
      </c>
      <c r="E66" s="22" t="s">
        <v>19</v>
      </c>
      <c r="F66" s="22" t="s">
        <v>18</v>
      </c>
      <c r="G66" s="19">
        <v>5</v>
      </c>
      <c r="H66" s="29">
        <v>65</v>
      </c>
      <c r="I66" s="59"/>
      <c r="J66" s="59" t="str">
        <f>IF(TableSales[[#This Row],[Sales]]&gt;=70, TableSales[[#This Row],[Sales]]*0.05, "No commission")</f>
        <v>No commission</v>
      </c>
      <c r="K66" s="60" t="str">
        <f>LEFT($J$7,6)&amp;TableSales[[#This Row],[Salesperson]]&amp;RIGHT($K$7,10)</f>
        <v>sales.MARIO@email.com</v>
      </c>
      <c r="L66" s="60"/>
    </row>
    <row r="67" spans="2:12" ht="15.6">
      <c r="B67" s="28">
        <v>42718</v>
      </c>
      <c r="C67" s="23" t="s">
        <v>24</v>
      </c>
      <c r="D67" s="23" t="s">
        <v>21</v>
      </c>
      <c r="E67" s="23" t="s">
        <v>15</v>
      </c>
      <c r="F67" s="23" t="s">
        <v>10</v>
      </c>
      <c r="G67" s="20">
        <v>1</v>
      </c>
      <c r="H67" s="30">
        <v>12</v>
      </c>
      <c r="I67" s="62"/>
      <c r="J67" s="59" t="str">
        <f>IF(TableSales[[#This Row],[Sales]]&gt;=70, TableSales[[#This Row],[Sales]]*0.05, "No commission")</f>
        <v>No commission</v>
      </c>
      <c r="K67" s="60" t="str">
        <f>LEFT($J$7,6)&amp;TableSales[[#This Row],[Salesperson]]&amp;RIGHT($K$7,10)</f>
        <v>sales.EDGAR@email.com</v>
      </c>
      <c r="L67" s="60"/>
    </row>
    <row r="68" spans="2:12" ht="15.6">
      <c r="B68" s="27">
        <v>42720</v>
      </c>
      <c r="C68" s="22" t="s">
        <v>13</v>
      </c>
      <c r="D68" s="22" t="s">
        <v>21</v>
      </c>
      <c r="E68" s="22" t="s">
        <v>15</v>
      </c>
      <c r="F68" s="22" t="s">
        <v>10</v>
      </c>
      <c r="G68" s="19">
        <v>1</v>
      </c>
      <c r="H68" s="29">
        <v>12</v>
      </c>
      <c r="I68" s="59"/>
      <c r="J68" s="59" t="str">
        <f>IF(TableSales[[#This Row],[Sales]]&gt;=70, TableSales[[#This Row],[Sales]]*0.05, "No commission")</f>
        <v>No commission</v>
      </c>
      <c r="K68" s="60" t="str">
        <f>LEFT($J$7,6)&amp;TableSales[[#This Row],[Salesperson]]&amp;RIGHT($K$7,10)</f>
        <v>sales.PETE@email.com</v>
      </c>
      <c r="L68" s="60"/>
    </row>
    <row r="69" spans="2:12" ht="15.6">
      <c r="B69" s="28">
        <v>42724</v>
      </c>
      <c r="C69" s="23" t="s">
        <v>17</v>
      </c>
      <c r="D69" s="23" t="s">
        <v>23</v>
      </c>
      <c r="E69" s="23" t="s">
        <v>19</v>
      </c>
      <c r="F69" s="23" t="s">
        <v>18</v>
      </c>
      <c r="G69" s="20">
        <v>4</v>
      </c>
      <c r="H69" s="30">
        <v>52</v>
      </c>
      <c r="I69" s="62"/>
      <c r="J69" s="59" t="str">
        <f>IF(TableSales[[#This Row],[Sales]]&gt;=70, TableSales[[#This Row],[Sales]]*0.05, "No commission")</f>
        <v>No commission</v>
      </c>
      <c r="K69" s="60" t="str">
        <f>LEFT($J$7,6)&amp;TableSales[[#This Row],[Salesperson]]&amp;RIGHT($K$7,10)</f>
        <v>sales.LAUREN@email.com</v>
      </c>
      <c r="L69" s="60"/>
    </row>
    <row r="70" spans="2:12" ht="15.6">
      <c r="B70" s="27">
        <v>42727</v>
      </c>
      <c r="C70" s="22" t="s">
        <v>22</v>
      </c>
      <c r="D70" s="22" t="s">
        <v>16</v>
      </c>
      <c r="E70" s="22" t="s">
        <v>15</v>
      </c>
      <c r="F70" s="22" t="s">
        <v>10</v>
      </c>
      <c r="G70" s="19">
        <v>5</v>
      </c>
      <c r="H70" s="29">
        <v>60</v>
      </c>
      <c r="I70" s="59"/>
      <c r="J70" s="59" t="str">
        <f>IF(TableSales[[#This Row],[Sales]]&gt;=70, TableSales[[#This Row],[Sales]]*0.05, "No commission")</f>
        <v>No commission</v>
      </c>
      <c r="K70" s="60" t="str">
        <f>LEFT($J$7,6)&amp;TableSales[[#This Row],[Salesperson]]&amp;RIGHT($K$7,10)</f>
        <v>sales.MARIO@email.com</v>
      </c>
      <c r="L70" s="60"/>
    </row>
    <row r="71" spans="2:12" ht="15.6">
      <c r="B71" s="28">
        <v>42729</v>
      </c>
      <c r="C71" s="23" t="s">
        <v>20</v>
      </c>
      <c r="D71" s="23" t="s">
        <v>23</v>
      </c>
      <c r="E71" s="23" t="s">
        <v>19</v>
      </c>
      <c r="F71" s="23" t="s">
        <v>10</v>
      </c>
      <c r="G71" s="20">
        <v>3</v>
      </c>
      <c r="H71" s="30">
        <v>39</v>
      </c>
      <c r="I71" s="62"/>
      <c r="J71" s="59" t="str">
        <f>IF(TableSales[[#This Row],[Sales]]&gt;=70, TableSales[[#This Row],[Sales]]*0.05, "No commission")</f>
        <v>No commission</v>
      </c>
      <c r="K71" s="60" t="str">
        <f>LEFT($J$7,6)&amp;TableSales[[#This Row],[Salesperson]]&amp;RIGHT($K$7,10)</f>
        <v>sales.HARRY@email.com</v>
      </c>
      <c r="L71" s="60"/>
    </row>
    <row r="72" spans="2:12" ht="15.6">
      <c r="B72" s="27">
        <v>42732</v>
      </c>
      <c r="C72" s="22" t="s">
        <v>17</v>
      </c>
      <c r="D72" s="22" t="s">
        <v>21</v>
      </c>
      <c r="E72" s="22" t="s">
        <v>15</v>
      </c>
      <c r="F72" s="22" t="s">
        <v>18</v>
      </c>
      <c r="G72" s="19">
        <v>8</v>
      </c>
      <c r="H72" s="29">
        <v>96</v>
      </c>
      <c r="I72" s="59"/>
      <c r="J72" s="59">
        <f>IF(TableSales[[#This Row],[Sales]]&gt;=70, TableSales[[#This Row],[Sales]]*0.05, "No commission")</f>
        <v>4.8000000000000007</v>
      </c>
      <c r="K72" s="60" t="str">
        <f>LEFT($J$7,6)&amp;TableSales[[#This Row],[Salesperson]]&amp;RIGHT($K$7,10)</f>
        <v>sales.LAUREN@email.com</v>
      </c>
      <c r="L72" s="60"/>
    </row>
    <row r="73" spans="2:12" ht="15.6">
      <c r="B73" s="28">
        <v>42735</v>
      </c>
      <c r="C73" s="23" t="s">
        <v>13</v>
      </c>
      <c r="D73" s="23" t="s">
        <v>12</v>
      </c>
      <c r="E73" s="23" t="s">
        <v>15</v>
      </c>
      <c r="F73" s="23" t="s">
        <v>10</v>
      </c>
      <c r="G73" s="20">
        <v>6</v>
      </c>
      <c r="H73" s="30">
        <v>72</v>
      </c>
      <c r="I73" s="62"/>
      <c r="J73" s="59">
        <f>IF(TableSales[[#This Row],[Sales]]&gt;=70, TableSales[[#This Row],[Sales]]*0.05, "No commission")</f>
        <v>3.6</v>
      </c>
      <c r="K73" s="60" t="str">
        <f>LEFT($J$7,6)&amp;TableSales[[#This Row],[Salesperson]]&amp;RIGHT($K$7,10)</f>
        <v>sales.PETE@email.com</v>
      </c>
      <c r="L73" s="60"/>
    </row>
    <row r="74" spans="2:12" ht="15.6">
      <c r="B74" s="27">
        <v>42740</v>
      </c>
      <c r="C74" s="22" t="s">
        <v>22</v>
      </c>
      <c r="D74" s="22" t="s">
        <v>23</v>
      </c>
      <c r="E74" s="22" t="s">
        <v>15</v>
      </c>
      <c r="F74" s="22" t="s">
        <v>18</v>
      </c>
      <c r="G74" s="19">
        <v>1</v>
      </c>
      <c r="H74" s="29">
        <v>12</v>
      </c>
      <c r="I74" s="59"/>
      <c r="J74" s="59" t="str">
        <f>IF(TableSales[[#This Row],[Sales]]&gt;=70, TableSales[[#This Row],[Sales]]*0.05, "No commission")</f>
        <v>No commission</v>
      </c>
      <c r="K74" s="60" t="str">
        <f>LEFT($J$7,6)&amp;TableSales[[#This Row],[Salesperson]]&amp;RIGHT($K$7,10)</f>
        <v>sales.MARIO@email.com</v>
      </c>
      <c r="L74" s="60"/>
    </row>
    <row r="75" spans="2:12" ht="15.6">
      <c r="B75" s="28">
        <v>42744</v>
      </c>
      <c r="C75" s="23" t="s">
        <v>24</v>
      </c>
      <c r="D75" s="23" t="s">
        <v>23</v>
      </c>
      <c r="E75" s="23" t="s">
        <v>19</v>
      </c>
      <c r="F75" s="23" t="s">
        <v>18</v>
      </c>
      <c r="G75" s="20">
        <v>8</v>
      </c>
      <c r="H75" s="30">
        <v>104</v>
      </c>
      <c r="I75" s="62"/>
      <c r="J75" s="59">
        <f>IF(TableSales[[#This Row],[Sales]]&gt;=70, TableSales[[#This Row],[Sales]]*0.05, "No commission")</f>
        <v>5.2</v>
      </c>
      <c r="K75" s="60" t="str">
        <f>LEFT($J$7,6)&amp;TableSales[[#This Row],[Salesperson]]&amp;RIGHT($K$7,10)</f>
        <v>sales.EDGAR@email.com</v>
      </c>
      <c r="L75" s="60"/>
    </row>
    <row r="76" spans="2:12" ht="15.6">
      <c r="B76" s="27">
        <v>42746</v>
      </c>
      <c r="C76" s="22" t="s">
        <v>13</v>
      </c>
      <c r="D76" s="22" t="s">
        <v>16</v>
      </c>
      <c r="E76" s="22" t="s">
        <v>15</v>
      </c>
      <c r="F76" s="22" t="s">
        <v>18</v>
      </c>
      <c r="G76" s="19">
        <v>5</v>
      </c>
      <c r="H76" s="29">
        <v>60</v>
      </c>
      <c r="I76" s="59"/>
      <c r="J76" s="59" t="str">
        <f>IF(TableSales[[#This Row],[Sales]]&gt;=70, TableSales[[#This Row],[Sales]]*0.05, "No commission")</f>
        <v>No commission</v>
      </c>
      <c r="K76" s="60" t="str">
        <f>LEFT($J$7,6)&amp;TableSales[[#This Row],[Salesperson]]&amp;RIGHT($K$7,10)</f>
        <v>sales.PETE@email.com</v>
      </c>
      <c r="L76" s="60"/>
    </row>
    <row r="77" spans="2:12" ht="15.6">
      <c r="B77" s="28">
        <v>42751</v>
      </c>
      <c r="C77" s="23" t="s">
        <v>17</v>
      </c>
      <c r="D77" s="23" t="s">
        <v>21</v>
      </c>
      <c r="E77" s="23" t="s">
        <v>19</v>
      </c>
      <c r="F77" s="23" t="s">
        <v>14</v>
      </c>
      <c r="G77" s="20">
        <v>6</v>
      </c>
      <c r="H77" s="30">
        <v>78</v>
      </c>
      <c r="I77" s="62"/>
      <c r="J77" s="59">
        <f>IF(TableSales[[#This Row],[Sales]]&gt;=70, TableSales[[#This Row],[Sales]]*0.05, "No commission")</f>
        <v>3.9000000000000004</v>
      </c>
      <c r="K77" s="60" t="str">
        <f>LEFT($J$7,6)&amp;TableSales[[#This Row],[Salesperson]]&amp;RIGHT($K$7,10)</f>
        <v>sales.LAUREN@email.com</v>
      </c>
      <c r="L77" s="60"/>
    </row>
    <row r="78" spans="2:12" ht="15.6">
      <c r="B78" s="27">
        <v>42754</v>
      </c>
      <c r="C78" s="24" t="s">
        <v>9</v>
      </c>
      <c r="D78" s="22" t="s">
        <v>21</v>
      </c>
      <c r="E78" s="22" t="s">
        <v>15</v>
      </c>
      <c r="F78" s="25" t="s">
        <v>18</v>
      </c>
      <c r="G78" s="19">
        <v>8</v>
      </c>
      <c r="H78" s="29">
        <v>96</v>
      </c>
      <c r="I78" s="59"/>
      <c r="J78" s="59">
        <f>IF(TableSales[[#This Row],[Sales]]&gt;=70, TableSales[[#This Row],[Sales]]*0.05, "No commission")</f>
        <v>4.8000000000000007</v>
      </c>
      <c r="K78" s="60" t="str">
        <f>LEFT($J$7,6)&amp;TableSales[[#This Row],[Salesperson]]&amp;RIGHT($K$7,10)</f>
        <v>sales.MONIQUE@email.com</v>
      </c>
      <c r="L78" s="60"/>
    </row>
    <row r="79" spans="2:12" ht="15.6">
      <c r="B79" s="28">
        <v>42759</v>
      </c>
      <c r="C79" s="23" t="s">
        <v>20</v>
      </c>
      <c r="D79" s="23" t="s">
        <v>12</v>
      </c>
      <c r="E79" s="23" t="s">
        <v>15</v>
      </c>
      <c r="F79" s="23" t="s">
        <v>14</v>
      </c>
      <c r="G79" s="20">
        <v>3</v>
      </c>
      <c r="H79" s="30">
        <v>36</v>
      </c>
      <c r="I79" s="62"/>
      <c r="J79" s="59" t="str">
        <f>IF(TableSales[[#This Row],[Sales]]&gt;=70, TableSales[[#This Row],[Sales]]*0.05, "No commission")</f>
        <v>No commission</v>
      </c>
      <c r="K79" s="60" t="str">
        <f>LEFT($J$7,6)&amp;TableSales[[#This Row],[Salesperson]]&amp;RIGHT($K$7,10)</f>
        <v>sales.HARRY@email.com</v>
      </c>
      <c r="L79" s="60"/>
    </row>
    <row r="80" spans="2:12" ht="15.6">
      <c r="B80" s="27">
        <v>42763</v>
      </c>
      <c r="C80" s="22" t="s">
        <v>13</v>
      </c>
      <c r="D80" s="22" t="s">
        <v>16</v>
      </c>
      <c r="E80" s="22" t="s">
        <v>19</v>
      </c>
      <c r="F80" s="22" t="s">
        <v>18</v>
      </c>
      <c r="G80" s="19">
        <v>5</v>
      </c>
      <c r="H80" s="29">
        <v>65</v>
      </c>
      <c r="I80" s="59"/>
      <c r="J80" s="59" t="str">
        <f>IF(TableSales[[#This Row],[Sales]]&gt;=70, TableSales[[#This Row],[Sales]]*0.05, "No commission")</f>
        <v>No commission</v>
      </c>
      <c r="K80" s="60" t="str">
        <f>LEFT($J$7,6)&amp;TableSales[[#This Row],[Salesperson]]&amp;RIGHT($K$7,10)</f>
        <v>sales.PETE@email.com</v>
      </c>
      <c r="L80" s="60"/>
    </row>
    <row r="81" spans="2:12" ht="15.6">
      <c r="B81" s="28">
        <v>42766</v>
      </c>
      <c r="C81" s="23" t="s">
        <v>17</v>
      </c>
      <c r="D81" s="23" t="s">
        <v>12</v>
      </c>
      <c r="E81" s="23" t="s">
        <v>19</v>
      </c>
      <c r="F81" s="23" t="s">
        <v>10</v>
      </c>
      <c r="G81" s="20">
        <v>5</v>
      </c>
      <c r="H81" s="30">
        <v>65</v>
      </c>
      <c r="I81" s="62"/>
      <c r="J81" s="59" t="str">
        <f>IF(TableSales[[#This Row],[Sales]]&gt;=70, TableSales[[#This Row],[Sales]]*0.05, "No commission")</f>
        <v>No commission</v>
      </c>
      <c r="K81" s="60" t="str">
        <f>LEFT($J$7,6)&amp;TableSales[[#This Row],[Salesperson]]&amp;RIGHT($K$7,10)</f>
        <v>sales.LAUREN@email.com</v>
      </c>
      <c r="L81" s="60"/>
    </row>
    <row r="82" spans="2:12" ht="15.6">
      <c r="B82" s="27">
        <v>42769</v>
      </c>
      <c r="C82" s="22" t="s">
        <v>20</v>
      </c>
      <c r="D82" s="22" t="s">
        <v>16</v>
      </c>
      <c r="E82" s="22" t="s">
        <v>19</v>
      </c>
      <c r="F82" s="22" t="s">
        <v>10</v>
      </c>
      <c r="G82" s="19">
        <v>1</v>
      </c>
      <c r="H82" s="29">
        <v>13</v>
      </c>
      <c r="I82" s="59"/>
      <c r="J82" s="59" t="str">
        <f>IF(TableSales[[#This Row],[Sales]]&gt;=70, TableSales[[#This Row],[Sales]]*0.05, "No commission")</f>
        <v>No commission</v>
      </c>
      <c r="K82" s="60" t="str">
        <f>LEFT($J$7,6)&amp;TableSales[[#This Row],[Salesperson]]&amp;RIGHT($K$7,10)</f>
        <v>sales.HARRY@email.com</v>
      </c>
      <c r="L82" s="60"/>
    </row>
    <row r="83" spans="2:12" ht="15.6">
      <c r="B83" s="28">
        <v>42774</v>
      </c>
      <c r="C83" s="23" t="s">
        <v>20</v>
      </c>
      <c r="D83" s="23" t="s">
        <v>16</v>
      </c>
      <c r="E83" s="23" t="s">
        <v>11</v>
      </c>
      <c r="F83" s="23" t="s">
        <v>18</v>
      </c>
      <c r="G83" s="20">
        <v>4</v>
      </c>
      <c r="H83" s="30">
        <v>44</v>
      </c>
      <c r="I83" s="62"/>
      <c r="J83" s="59" t="str">
        <f>IF(TableSales[[#This Row],[Sales]]&gt;=70, TableSales[[#This Row],[Sales]]*0.05, "No commission")</f>
        <v>No commission</v>
      </c>
      <c r="K83" s="60" t="str">
        <f>LEFT($J$7,6)&amp;TableSales[[#This Row],[Salesperson]]&amp;RIGHT($K$7,10)</f>
        <v>sales.HARRY@email.com</v>
      </c>
      <c r="L83" s="60"/>
    </row>
    <row r="84" spans="2:12" ht="15.6">
      <c r="B84" s="27">
        <v>42776</v>
      </c>
      <c r="C84" s="22" t="s">
        <v>13</v>
      </c>
      <c r="D84" s="22" t="s">
        <v>12</v>
      </c>
      <c r="E84" s="22" t="s">
        <v>11</v>
      </c>
      <c r="F84" s="22" t="s">
        <v>18</v>
      </c>
      <c r="G84" s="19">
        <v>2</v>
      </c>
      <c r="H84" s="29">
        <v>22</v>
      </c>
      <c r="I84" s="59"/>
      <c r="J84" s="59" t="str">
        <f>IF(TableSales[[#This Row],[Sales]]&gt;=70, TableSales[[#This Row],[Sales]]*0.05, "No commission")</f>
        <v>No commission</v>
      </c>
      <c r="K84" s="60" t="str">
        <f>LEFT($J$7,6)&amp;TableSales[[#This Row],[Salesperson]]&amp;RIGHT($K$7,10)</f>
        <v>sales.PETE@email.com</v>
      </c>
      <c r="L84" s="60"/>
    </row>
    <row r="85" spans="2:12" ht="15.6">
      <c r="B85" s="28">
        <v>42780</v>
      </c>
      <c r="C85" s="21" t="s">
        <v>9</v>
      </c>
      <c r="D85" s="23" t="s">
        <v>16</v>
      </c>
      <c r="E85" s="23" t="s">
        <v>19</v>
      </c>
      <c r="F85" s="26" t="s">
        <v>10</v>
      </c>
      <c r="G85" s="20">
        <v>6</v>
      </c>
      <c r="H85" s="30">
        <v>78</v>
      </c>
      <c r="I85" s="62"/>
      <c r="J85" s="59">
        <f>IF(TableSales[[#This Row],[Sales]]&gt;=70, TableSales[[#This Row],[Sales]]*0.05, "No commission")</f>
        <v>3.9000000000000004</v>
      </c>
      <c r="K85" s="60" t="str">
        <f>LEFT($J$7,6)&amp;TableSales[[#This Row],[Salesperson]]&amp;RIGHT($K$7,10)</f>
        <v>sales.MONIQUE@email.com</v>
      </c>
      <c r="L85" s="60"/>
    </row>
    <row r="86" spans="2:12" ht="15.6">
      <c r="B86" s="27">
        <v>42782</v>
      </c>
      <c r="C86" s="22" t="s">
        <v>22</v>
      </c>
      <c r="D86" s="22" t="s">
        <v>23</v>
      </c>
      <c r="E86" s="22" t="s">
        <v>15</v>
      </c>
      <c r="F86" s="22" t="s">
        <v>14</v>
      </c>
      <c r="G86" s="19">
        <v>7</v>
      </c>
      <c r="H86" s="29">
        <v>84</v>
      </c>
      <c r="I86" s="59"/>
      <c r="J86" s="59">
        <f>IF(TableSales[[#This Row],[Sales]]&gt;=70, TableSales[[#This Row],[Sales]]*0.05, "No commission")</f>
        <v>4.2</v>
      </c>
      <c r="K86" s="60" t="str">
        <f>LEFT($J$7,6)&amp;TableSales[[#This Row],[Salesperson]]&amp;RIGHT($K$7,10)</f>
        <v>sales.MARIO@email.com</v>
      </c>
      <c r="L86" s="60"/>
    </row>
    <row r="87" spans="2:12" ht="15.6">
      <c r="B87" s="28">
        <v>42784</v>
      </c>
      <c r="C87" s="21" t="s">
        <v>9</v>
      </c>
      <c r="D87" s="23" t="s">
        <v>12</v>
      </c>
      <c r="E87" s="23" t="s">
        <v>15</v>
      </c>
      <c r="F87" s="26" t="s">
        <v>18</v>
      </c>
      <c r="G87" s="20">
        <v>5</v>
      </c>
      <c r="H87" s="30">
        <v>60</v>
      </c>
      <c r="I87" s="62"/>
      <c r="J87" s="59" t="str">
        <f>IF(TableSales[[#This Row],[Sales]]&gt;=70, TableSales[[#This Row],[Sales]]*0.05, "No commission")</f>
        <v>No commission</v>
      </c>
      <c r="K87" s="60" t="str">
        <f>LEFT($J$7,6)&amp;TableSales[[#This Row],[Salesperson]]&amp;RIGHT($K$7,10)</f>
        <v>sales.MONIQUE@email.com</v>
      </c>
      <c r="L87" s="60"/>
    </row>
    <row r="88" spans="2:12" ht="15.6">
      <c r="B88" s="27">
        <v>42789</v>
      </c>
      <c r="C88" s="22" t="s">
        <v>13</v>
      </c>
      <c r="D88" s="22" t="s">
        <v>23</v>
      </c>
      <c r="E88" s="22" t="s">
        <v>19</v>
      </c>
      <c r="F88" s="22" t="s">
        <v>14</v>
      </c>
      <c r="G88" s="19">
        <v>8</v>
      </c>
      <c r="H88" s="29">
        <v>104</v>
      </c>
      <c r="I88" s="59"/>
      <c r="J88" s="59">
        <f>IF(TableSales[[#This Row],[Sales]]&gt;=70, TableSales[[#This Row],[Sales]]*0.05, "No commission")</f>
        <v>5.2</v>
      </c>
      <c r="K88" s="60" t="str">
        <f>LEFT($J$7,6)&amp;TableSales[[#This Row],[Salesperson]]&amp;RIGHT($K$7,10)</f>
        <v>sales.PETE@email.com</v>
      </c>
      <c r="L88" s="60"/>
    </row>
    <row r="89" spans="2:12" ht="15.6">
      <c r="B89" s="28">
        <v>42793</v>
      </c>
      <c r="C89" s="23" t="s">
        <v>17</v>
      </c>
      <c r="D89" s="23" t="s">
        <v>12</v>
      </c>
      <c r="E89" s="23" t="s">
        <v>11</v>
      </c>
      <c r="F89" s="23" t="s">
        <v>10</v>
      </c>
      <c r="G89" s="20">
        <v>3</v>
      </c>
      <c r="H89" s="30">
        <v>33</v>
      </c>
      <c r="I89" s="62"/>
      <c r="J89" s="59" t="str">
        <f>IF(TableSales[[#This Row],[Sales]]&gt;=70, TableSales[[#This Row],[Sales]]*0.05, "No commission")</f>
        <v>No commission</v>
      </c>
      <c r="K89" s="60" t="str">
        <f>LEFT($J$7,6)&amp;TableSales[[#This Row],[Salesperson]]&amp;RIGHT($K$7,10)</f>
        <v>sales.LAUREN@email.com</v>
      </c>
      <c r="L89" s="60"/>
    </row>
    <row r="90" spans="2:12" ht="15.6">
      <c r="B90" s="27">
        <v>42796</v>
      </c>
      <c r="C90" s="22" t="s">
        <v>13</v>
      </c>
      <c r="D90" s="22" t="s">
        <v>12</v>
      </c>
      <c r="E90" s="22" t="s">
        <v>15</v>
      </c>
      <c r="F90" s="22" t="s">
        <v>18</v>
      </c>
      <c r="G90" s="19">
        <v>4</v>
      </c>
      <c r="H90" s="29">
        <v>48</v>
      </c>
      <c r="I90" s="59"/>
      <c r="J90" s="59" t="str">
        <f>IF(TableSales[[#This Row],[Sales]]&gt;=70, TableSales[[#This Row],[Sales]]*0.05, "No commission")</f>
        <v>No commission</v>
      </c>
      <c r="K90" s="60" t="str">
        <f>LEFT($J$7,6)&amp;TableSales[[#This Row],[Salesperson]]&amp;RIGHT($K$7,10)</f>
        <v>sales.PETE@email.com</v>
      </c>
      <c r="L90" s="60"/>
    </row>
    <row r="91" spans="2:12" ht="15.6">
      <c r="B91" s="28">
        <v>42799</v>
      </c>
      <c r="C91" s="23" t="s">
        <v>24</v>
      </c>
      <c r="D91" s="23" t="s">
        <v>23</v>
      </c>
      <c r="E91" s="23" t="s">
        <v>15</v>
      </c>
      <c r="F91" s="23" t="s">
        <v>18</v>
      </c>
      <c r="G91" s="20">
        <v>7</v>
      </c>
      <c r="H91" s="30">
        <v>84</v>
      </c>
      <c r="I91" s="62"/>
      <c r="J91" s="59">
        <f>IF(TableSales[[#This Row],[Sales]]&gt;=70, TableSales[[#This Row],[Sales]]*0.05, "No commission")</f>
        <v>4.2</v>
      </c>
      <c r="K91" s="60" t="str">
        <f>LEFT($J$7,6)&amp;TableSales[[#This Row],[Salesperson]]&amp;RIGHT($K$7,10)</f>
        <v>sales.EDGAR@email.com</v>
      </c>
      <c r="L91" s="60"/>
    </row>
    <row r="92" spans="2:12" ht="15.6">
      <c r="B92" s="27">
        <v>42802</v>
      </c>
      <c r="C92" s="22" t="s">
        <v>13</v>
      </c>
      <c r="D92" s="22" t="s">
        <v>12</v>
      </c>
      <c r="E92" s="22" t="s">
        <v>11</v>
      </c>
      <c r="F92" s="22" t="s">
        <v>10</v>
      </c>
      <c r="G92" s="19">
        <v>5</v>
      </c>
      <c r="H92" s="29">
        <v>55</v>
      </c>
      <c r="I92" s="59"/>
      <c r="J92" s="59" t="str">
        <f>IF(TableSales[[#This Row],[Sales]]&gt;=70, TableSales[[#This Row],[Sales]]*0.05, "No commission")</f>
        <v>No commission</v>
      </c>
      <c r="K92" s="60" t="str">
        <f>LEFT($J$7,6)&amp;TableSales[[#This Row],[Salesperson]]&amp;RIGHT($K$7,10)</f>
        <v>sales.PETE@email.com</v>
      </c>
      <c r="L92" s="60"/>
    </row>
    <row r="93" spans="2:12" ht="15.6">
      <c r="B93" s="28">
        <v>42807</v>
      </c>
      <c r="C93" s="23" t="s">
        <v>17</v>
      </c>
      <c r="D93" s="23" t="s">
        <v>23</v>
      </c>
      <c r="E93" s="23" t="s">
        <v>19</v>
      </c>
      <c r="F93" s="23" t="s">
        <v>10</v>
      </c>
      <c r="G93" s="20">
        <v>8</v>
      </c>
      <c r="H93" s="30">
        <v>104</v>
      </c>
      <c r="I93" s="62"/>
      <c r="J93" s="59">
        <f>IF(TableSales[[#This Row],[Sales]]&gt;=70, TableSales[[#This Row],[Sales]]*0.05, "No commission")</f>
        <v>5.2</v>
      </c>
      <c r="K93" s="60" t="str">
        <f>LEFT($J$7,6)&amp;TableSales[[#This Row],[Salesperson]]&amp;RIGHT($K$7,10)</f>
        <v>sales.LAUREN@email.com</v>
      </c>
      <c r="L93" s="60"/>
    </row>
    <row r="94" spans="2:12" ht="15.6">
      <c r="B94" s="27">
        <v>42810</v>
      </c>
      <c r="C94" s="22" t="s">
        <v>22</v>
      </c>
      <c r="D94" s="22" t="s">
        <v>12</v>
      </c>
      <c r="E94" s="22" t="s">
        <v>15</v>
      </c>
      <c r="F94" s="22" t="s">
        <v>18</v>
      </c>
      <c r="G94" s="19">
        <v>7</v>
      </c>
      <c r="H94" s="29">
        <v>84</v>
      </c>
      <c r="I94" s="59"/>
      <c r="J94" s="59">
        <f>IF(TableSales[[#This Row],[Sales]]&gt;=70, TableSales[[#This Row],[Sales]]*0.05, "No commission")</f>
        <v>4.2</v>
      </c>
      <c r="K94" s="60" t="str">
        <f>LEFT($J$7,6)&amp;TableSales[[#This Row],[Salesperson]]&amp;RIGHT($K$7,10)</f>
        <v>sales.MARIO@email.com</v>
      </c>
      <c r="L94" s="60"/>
    </row>
    <row r="95" spans="2:12" ht="15.6">
      <c r="B95" s="28">
        <v>42815</v>
      </c>
      <c r="C95" s="23" t="s">
        <v>17</v>
      </c>
      <c r="D95" s="23" t="s">
        <v>12</v>
      </c>
      <c r="E95" s="23" t="s">
        <v>15</v>
      </c>
      <c r="F95" s="23" t="s">
        <v>14</v>
      </c>
      <c r="G95" s="20">
        <v>1</v>
      </c>
      <c r="H95" s="30">
        <v>12</v>
      </c>
      <c r="I95" s="62"/>
      <c r="J95" s="59" t="str">
        <f>IF(TableSales[[#This Row],[Sales]]&gt;=70, TableSales[[#This Row],[Sales]]*0.05, "No commission")</f>
        <v>No commission</v>
      </c>
      <c r="K95" s="60" t="str">
        <f>LEFT($J$7,6)&amp;TableSales[[#This Row],[Salesperson]]&amp;RIGHT($K$7,10)</f>
        <v>sales.LAUREN@email.com</v>
      </c>
      <c r="L95" s="60"/>
    </row>
    <row r="96" spans="2:12" ht="15.6">
      <c r="B96" s="27">
        <v>42817</v>
      </c>
      <c r="C96" s="22" t="s">
        <v>17</v>
      </c>
      <c r="D96" s="22" t="s">
        <v>21</v>
      </c>
      <c r="E96" s="22" t="s">
        <v>19</v>
      </c>
      <c r="F96" s="22" t="s">
        <v>10</v>
      </c>
      <c r="G96" s="19">
        <v>3</v>
      </c>
      <c r="H96" s="29">
        <v>39</v>
      </c>
      <c r="I96" s="59"/>
      <c r="J96" s="59" t="str">
        <f>IF(TableSales[[#This Row],[Sales]]&gt;=70, TableSales[[#This Row],[Sales]]*0.05, "No commission")</f>
        <v>No commission</v>
      </c>
      <c r="K96" s="60" t="str">
        <f>LEFT($J$7,6)&amp;TableSales[[#This Row],[Salesperson]]&amp;RIGHT($K$7,10)</f>
        <v>sales.LAUREN@email.com</v>
      </c>
      <c r="L96" s="60"/>
    </row>
    <row r="97" spans="2:12" ht="15.6">
      <c r="B97" s="28">
        <v>42822</v>
      </c>
      <c r="C97" s="23" t="s">
        <v>13</v>
      </c>
      <c r="D97" s="23" t="s">
        <v>12</v>
      </c>
      <c r="E97" s="23" t="s">
        <v>19</v>
      </c>
      <c r="F97" s="23" t="s">
        <v>18</v>
      </c>
      <c r="G97" s="20">
        <v>5</v>
      </c>
      <c r="H97" s="30">
        <v>65</v>
      </c>
      <c r="I97" s="62"/>
      <c r="J97" s="59" t="str">
        <f>IF(TableSales[[#This Row],[Sales]]&gt;=70, TableSales[[#This Row],[Sales]]*0.05, "No commission")</f>
        <v>No commission</v>
      </c>
      <c r="K97" s="60" t="str">
        <f>LEFT($J$7,6)&amp;TableSales[[#This Row],[Salesperson]]&amp;RIGHT($K$7,10)</f>
        <v>sales.PETE@email.com</v>
      </c>
      <c r="L97" s="60"/>
    </row>
    <row r="98" spans="2:12" ht="15.6">
      <c r="B98" s="27">
        <v>42825</v>
      </c>
      <c r="C98" s="22" t="s">
        <v>13</v>
      </c>
      <c r="D98" s="22" t="s">
        <v>21</v>
      </c>
      <c r="E98" s="22" t="s">
        <v>11</v>
      </c>
      <c r="F98" s="22" t="s">
        <v>10</v>
      </c>
      <c r="G98" s="19">
        <v>7</v>
      </c>
      <c r="H98" s="29">
        <v>77</v>
      </c>
      <c r="I98" s="59"/>
      <c r="J98" s="59">
        <f>IF(TableSales[[#This Row],[Sales]]&gt;=70, TableSales[[#This Row],[Sales]]*0.05, "No commission")</f>
        <v>3.85</v>
      </c>
      <c r="K98" s="60" t="str">
        <f>LEFT($J$7,6)&amp;TableSales[[#This Row],[Salesperson]]&amp;RIGHT($K$7,10)</f>
        <v>sales.PETE@email.com</v>
      </c>
      <c r="L98" s="60"/>
    </row>
    <row r="99" spans="2:12" ht="15.6">
      <c r="B99" s="28">
        <v>42828</v>
      </c>
      <c r="C99" s="23" t="s">
        <v>20</v>
      </c>
      <c r="D99" s="23" t="s">
        <v>12</v>
      </c>
      <c r="E99" s="23" t="s">
        <v>11</v>
      </c>
      <c r="F99" s="23" t="s">
        <v>10</v>
      </c>
      <c r="G99" s="20">
        <v>4</v>
      </c>
      <c r="H99" s="30">
        <v>44</v>
      </c>
      <c r="I99" s="62"/>
      <c r="J99" s="59" t="str">
        <f>IF(TableSales[[#This Row],[Sales]]&gt;=70, TableSales[[#This Row],[Sales]]*0.05, "No commission")</f>
        <v>No commission</v>
      </c>
      <c r="K99" s="60" t="str">
        <f>LEFT($J$7,6)&amp;TableSales[[#This Row],[Salesperson]]&amp;RIGHT($K$7,10)</f>
        <v>sales.HARRY@email.com</v>
      </c>
      <c r="L99" s="60"/>
    </row>
    <row r="100" spans="2:12" ht="15.6">
      <c r="B100" s="27">
        <v>42831</v>
      </c>
      <c r="C100" s="22" t="s">
        <v>17</v>
      </c>
      <c r="D100" s="22" t="s">
        <v>12</v>
      </c>
      <c r="E100" s="22" t="s">
        <v>15</v>
      </c>
      <c r="F100" s="22" t="s">
        <v>10</v>
      </c>
      <c r="G100" s="19">
        <v>1</v>
      </c>
      <c r="H100" s="29">
        <v>12</v>
      </c>
      <c r="I100" s="59"/>
      <c r="J100" s="59" t="str">
        <f>IF(TableSales[[#This Row],[Sales]]&gt;=70, TableSales[[#This Row],[Sales]]*0.05, "No commission")</f>
        <v>No commission</v>
      </c>
      <c r="K100" s="60" t="str">
        <f>LEFT($J$7,6)&amp;TableSales[[#This Row],[Salesperson]]&amp;RIGHT($K$7,10)</f>
        <v>sales.LAUREN@email.com</v>
      </c>
      <c r="L100" s="60"/>
    </row>
    <row r="101" spans="2:12" ht="15.6">
      <c r="B101" s="28">
        <v>42833</v>
      </c>
      <c r="C101" s="23" t="s">
        <v>13</v>
      </c>
      <c r="D101" s="23" t="s">
        <v>23</v>
      </c>
      <c r="E101" s="23" t="s">
        <v>11</v>
      </c>
      <c r="F101" s="23" t="s">
        <v>18</v>
      </c>
      <c r="G101" s="20">
        <v>2</v>
      </c>
      <c r="H101" s="30">
        <v>22</v>
      </c>
      <c r="I101" s="62"/>
      <c r="J101" s="59" t="str">
        <f>IF(TableSales[[#This Row],[Sales]]&gt;=70, TableSales[[#This Row],[Sales]]*0.05, "No commission")</f>
        <v>No commission</v>
      </c>
      <c r="K101" s="60" t="str">
        <f>LEFT($J$7,6)&amp;TableSales[[#This Row],[Salesperson]]&amp;RIGHT($K$7,10)</f>
        <v>sales.PETE@email.com</v>
      </c>
      <c r="L101" s="60"/>
    </row>
    <row r="102" spans="2:12" ht="15.6">
      <c r="B102" s="27">
        <v>42835</v>
      </c>
      <c r="C102" s="22" t="s">
        <v>22</v>
      </c>
      <c r="D102" s="22" t="s">
        <v>12</v>
      </c>
      <c r="E102" s="22" t="s">
        <v>15</v>
      </c>
      <c r="F102" s="22" t="s">
        <v>14</v>
      </c>
      <c r="G102" s="19">
        <v>8</v>
      </c>
      <c r="H102" s="29">
        <v>96</v>
      </c>
      <c r="I102" s="59"/>
      <c r="J102" s="59">
        <f>IF(TableSales[[#This Row],[Sales]]&gt;=70, TableSales[[#This Row],[Sales]]*0.05, "No commission")</f>
        <v>4.8000000000000007</v>
      </c>
      <c r="K102" s="60" t="str">
        <f>LEFT($J$7,6)&amp;TableSales[[#This Row],[Salesperson]]&amp;RIGHT($K$7,10)</f>
        <v>sales.MARIO@email.com</v>
      </c>
      <c r="L102" s="60"/>
    </row>
    <row r="103" spans="2:12" ht="15.6">
      <c r="B103" s="28">
        <v>42837</v>
      </c>
      <c r="C103" s="23" t="s">
        <v>20</v>
      </c>
      <c r="D103" s="23" t="s">
        <v>21</v>
      </c>
      <c r="E103" s="23" t="s">
        <v>19</v>
      </c>
      <c r="F103" s="23" t="s">
        <v>10</v>
      </c>
      <c r="G103" s="20">
        <v>1</v>
      </c>
      <c r="H103" s="30">
        <v>13</v>
      </c>
      <c r="I103" s="62"/>
      <c r="J103" s="59" t="str">
        <f>IF(TableSales[[#This Row],[Sales]]&gt;=70, TableSales[[#This Row],[Sales]]*0.05, "No commission")</f>
        <v>No commission</v>
      </c>
      <c r="K103" s="60" t="str">
        <f>LEFT($J$7,6)&amp;TableSales[[#This Row],[Salesperson]]&amp;RIGHT($K$7,10)</f>
        <v>sales.HARRY@email.com</v>
      </c>
      <c r="L103" s="60"/>
    </row>
    <row r="104" spans="2:12" ht="15.6">
      <c r="B104" s="27">
        <v>42840</v>
      </c>
      <c r="C104" s="24" t="s">
        <v>9</v>
      </c>
      <c r="D104" s="22" t="s">
        <v>12</v>
      </c>
      <c r="E104" s="22" t="s">
        <v>11</v>
      </c>
      <c r="F104" s="25" t="s">
        <v>14</v>
      </c>
      <c r="G104" s="19">
        <v>3</v>
      </c>
      <c r="H104" s="29">
        <v>33</v>
      </c>
      <c r="I104" s="59"/>
      <c r="J104" s="59" t="str">
        <f>IF(TableSales[[#This Row],[Sales]]&gt;=70, TableSales[[#This Row],[Sales]]*0.05, "No commission")</f>
        <v>No commission</v>
      </c>
      <c r="K104" s="60" t="str">
        <f>LEFT($J$7,6)&amp;TableSales[[#This Row],[Salesperson]]&amp;RIGHT($K$7,10)</f>
        <v>sales.MONIQUE@email.com</v>
      </c>
      <c r="L104" s="60"/>
    </row>
    <row r="105" spans="2:12" ht="15.6">
      <c r="B105" s="28">
        <v>42843</v>
      </c>
      <c r="C105" s="23" t="s">
        <v>24</v>
      </c>
      <c r="D105" s="23" t="s">
        <v>12</v>
      </c>
      <c r="E105" s="23" t="s">
        <v>19</v>
      </c>
      <c r="F105" s="23" t="s">
        <v>18</v>
      </c>
      <c r="G105" s="20">
        <v>4</v>
      </c>
      <c r="H105" s="30">
        <v>52</v>
      </c>
      <c r="I105" s="62"/>
      <c r="J105" s="59" t="str">
        <f>IF(TableSales[[#This Row],[Sales]]&gt;=70, TableSales[[#This Row],[Sales]]*0.05, "No commission")</f>
        <v>No commission</v>
      </c>
      <c r="K105" s="60" t="str">
        <f>LEFT($J$7,6)&amp;TableSales[[#This Row],[Salesperson]]&amp;RIGHT($K$7,10)</f>
        <v>sales.EDGAR@email.com</v>
      </c>
      <c r="L105" s="60"/>
    </row>
    <row r="106" spans="2:12" ht="15.6">
      <c r="B106" s="27">
        <v>42845</v>
      </c>
      <c r="C106" s="22" t="s">
        <v>22</v>
      </c>
      <c r="D106" s="22" t="s">
        <v>23</v>
      </c>
      <c r="E106" s="22" t="s">
        <v>11</v>
      </c>
      <c r="F106" s="22" t="s">
        <v>10</v>
      </c>
      <c r="G106" s="19">
        <v>2</v>
      </c>
      <c r="H106" s="29">
        <v>22</v>
      </c>
      <c r="I106" s="59"/>
      <c r="J106" s="59" t="str">
        <f>IF(TableSales[[#This Row],[Sales]]&gt;=70, TableSales[[#This Row],[Sales]]*0.05, "No commission")</f>
        <v>No commission</v>
      </c>
      <c r="K106" s="60" t="str">
        <f>LEFT($J$7,6)&amp;TableSales[[#This Row],[Salesperson]]&amp;RIGHT($K$7,10)</f>
        <v>sales.MARIO@email.com</v>
      </c>
      <c r="L106" s="60"/>
    </row>
    <row r="107" spans="2:12" ht="15.6">
      <c r="B107" s="28">
        <v>42848</v>
      </c>
      <c r="C107" s="23" t="s">
        <v>20</v>
      </c>
      <c r="D107" s="23" t="s">
        <v>12</v>
      </c>
      <c r="E107" s="23" t="s">
        <v>11</v>
      </c>
      <c r="F107" s="23" t="s">
        <v>14</v>
      </c>
      <c r="G107" s="20">
        <v>5</v>
      </c>
      <c r="H107" s="30">
        <v>55</v>
      </c>
      <c r="I107" s="62"/>
      <c r="J107" s="59" t="str">
        <f>IF(TableSales[[#This Row],[Sales]]&gt;=70, TableSales[[#This Row],[Sales]]*0.05, "No commission")</f>
        <v>No commission</v>
      </c>
      <c r="K107" s="60" t="str">
        <f>LEFT($J$7,6)&amp;TableSales[[#This Row],[Salesperson]]&amp;RIGHT($K$7,10)</f>
        <v>sales.HARRY@email.com</v>
      </c>
      <c r="L107" s="60"/>
    </row>
    <row r="108" spans="2:12" ht="15.6">
      <c r="B108" s="27">
        <v>42851</v>
      </c>
      <c r="C108" s="22" t="s">
        <v>17</v>
      </c>
      <c r="D108" s="22" t="s">
        <v>23</v>
      </c>
      <c r="E108" s="22" t="s">
        <v>15</v>
      </c>
      <c r="F108" s="22" t="s">
        <v>14</v>
      </c>
      <c r="G108" s="19">
        <v>1</v>
      </c>
      <c r="H108" s="29">
        <v>12</v>
      </c>
      <c r="I108" s="59"/>
      <c r="J108" s="59" t="str">
        <f>IF(TableSales[[#This Row],[Sales]]&gt;=70, TableSales[[#This Row],[Sales]]*0.05, "No commission")</f>
        <v>No commission</v>
      </c>
      <c r="K108" s="60" t="str">
        <f>LEFT($J$7,6)&amp;TableSales[[#This Row],[Salesperson]]&amp;RIGHT($K$7,10)</f>
        <v>sales.LAUREN@email.com</v>
      </c>
      <c r="L108" s="60"/>
    </row>
    <row r="109" spans="2:12" ht="15.6">
      <c r="B109" s="28">
        <v>42854</v>
      </c>
      <c r="C109" s="23" t="s">
        <v>13</v>
      </c>
      <c r="D109" s="23" t="s">
        <v>16</v>
      </c>
      <c r="E109" s="23" t="s">
        <v>11</v>
      </c>
      <c r="F109" s="23" t="s">
        <v>18</v>
      </c>
      <c r="G109" s="20">
        <v>2</v>
      </c>
      <c r="H109" s="30">
        <v>22</v>
      </c>
      <c r="I109" s="62"/>
      <c r="J109" s="59" t="str">
        <f>IF(TableSales[[#This Row],[Sales]]&gt;=70, TableSales[[#This Row],[Sales]]*0.05, "No commission")</f>
        <v>No commission</v>
      </c>
      <c r="K109" s="60" t="str">
        <f>LEFT($J$7,6)&amp;TableSales[[#This Row],[Salesperson]]&amp;RIGHT($K$7,10)</f>
        <v>sales.PETE@email.com</v>
      </c>
      <c r="L109" s="60"/>
    </row>
    <row r="110" spans="2:12" ht="15.6">
      <c r="B110" s="27">
        <v>42857</v>
      </c>
      <c r="C110" s="22" t="s">
        <v>20</v>
      </c>
      <c r="D110" s="22" t="s">
        <v>23</v>
      </c>
      <c r="E110" s="22" t="s">
        <v>15</v>
      </c>
      <c r="F110" s="22" t="s">
        <v>14</v>
      </c>
      <c r="G110" s="19">
        <v>7</v>
      </c>
      <c r="H110" s="29">
        <v>84</v>
      </c>
      <c r="I110" s="59"/>
      <c r="J110" s="59">
        <f>IF(TableSales[[#This Row],[Sales]]&gt;=70, TableSales[[#This Row],[Sales]]*0.05, "No commission")</f>
        <v>4.2</v>
      </c>
      <c r="K110" s="60" t="str">
        <f>LEFT($J$7,6)&amp;TableSales[[#This Row],[Salesperson]]&amp;RIGHT($K$7,10)</f>
        <v>sales.HARRY@email.com</v>
      </c>
      <c r="L110" s="60"/>
    </row>
    <row r="111" spans="2:12" ht="15.6">
      <c r="B111" s="28">
        <v>42861</v>
      </c>
      <c r="C111" s="23" t="s">
        <v>13</v>
      </c>
      <c r="D111" s="23" t="s">
        <v>21</v>
      </c>
      <c r="E111" s="23" t="s">
        <v>11</v>
      </c>
      <c r="F111" s="23" t="s">
        <v>10</v>
      </c>
      <c r="G111" s="20">
        <v>5</v>
      </c>
      <c r="H111" s="30">
        <v>55</v>
      </c>
      <c r="I111" s="62"/>
      <c r="J111" s="59" t="str">
        <f>IF(TableSales[[#This Row],[Sales]]&gt;=70, TableSales[[#This Row],[Sales]]*0.05, "No commission")</f>
        <v>No commission</v>
      </c>
      <c r="K111" s="60" t="str">
        <f>LEFT($J$7,6)&amp;TableSales[[#This Row],[Salesperson]]&amp;RIGHT($K$7,10)</f>
        <v>sales.PETE@email.com</v>
      </c>
      <c r="L111" s="60"/>
    </row>
    <row r="112" spans="2:12" ht="15.6">
      <c r="B112" s="27">
        <v>42865</v>
      </c>
      <c r="C112" s="22" t="s">
        <v>17</v>
      </c>
      <c r="D112" s="22" t="s">
        <v>12</v>
      </c>
      <c r="E112" s="22" t="s">
        <v>11</v>
      </c>
      <c r="F112" s="22" t="s">
        <v>10</v>
      </c>
      <c r="G112" s="19">
        <v>2</v>
      </c>
      <c r="H112" s="29">
        <v>22</v>
      </c>
      <c r="I112" s="59"/>
      <c r="J112" s="59" t="str">
        <f>IF(TableSales[[#This Row],[Sales]]&gt;=70, TableSales[[#This Row],[Sales]]*0.05, "No commission")</f>
        <v>No commission</v>
      </c>
      <c r="K112" s="60" t="str">
        <f>LEFT($J$7,6)&amp;TableSales[[#This Row],[Salesperson]]&amp;RIGHT($K$7,10)</f>
        <v>sales.LAUREN@email.com</v>
      </c>
      <c r="L112" s="60"/>
    </row>
    <row r="113" spans="2:12" ht="15.6">
      <c r="B113" s="28">
        <v>42869</v>
      </c>
      <c r="C113" s="21" t="s">
        <v>9</v>
      </c>
      <c r="D113" s="23" t="s">
        <v>12</v>
      </c>
      <c r="E113" s="23" t="s">
        <v>19</v>
      </c>
      <c r="F113" s="26" t="s">
        <v>18</v>
      </c>
      <c r="G113" s="20">
        <v>3</v>
      </c>
      <c r="H113" s="30">
        <v>39</v>
      </c>
      <c r="I113" s="62"/>
      <c r="J113" s="59" t="str">
        <f>IF(TableSales[[#This Row],[Sales]]&gt;=70, TableSales[[#This Row],[Sales]]*0.05, "No commission")</f>
        <v>No commission</v>
      </c>
      <c r="K113" s="60" t="str">
        <f>LEFT($J$7,6)&amp;TableSales[[#This Row],[Salesperson]]&amp;RIGHT($K$7,10)</f>
        <v>sales.MONIQUE@email.com</v>
      </c>
      <c r="L113" s="60"/>
    </row>
    <row r="114" spans="2:12" ht="15.6">
      <c r="B114" s="27">
        <v>42872</v>
      </c>
      <c r="C114" s="22" t="s">
        <v>20</v>
      </c>
      <c r="D114" s="22" t="s">
        <v>21</v>
      </c>
      <c r="E114" s="22" t="s">
        <v>19</v>
      </c>
      <c r="F114" s="22" t="s">
        <v>14</v>
      </c>
      <c r="G114" s="19">
        <v>2</v>
      </c>
      <c r="H114" s="29">
        <v>26</v>
      </c>
      <c r="I114" s="59"/>
      <c r="J114" s="59" t="str">
        <f>IF(TableSales[[#This Row],[Sales]]&gt;=70, TableSales[[#This Row],[Sales]]*0.05, "No commission")</f>
        <v>No commission</v>
      </c>
      <c r="K114" s="60" t="str">
        <f>LEFT($J$7,6)&amp;TableSales[[#This Row],[Salesperson]]&amp;RIGHT($K$7,10)</f>
        <v>sales.HARRY@email.com</v>
      </c>
      <c r="L114" s="60"/>
    </row>
    <row r="115" spans="2:12" ht="15.6">
      <c r="B115" s="28">
        <v>42874</v>
      </c>
      <c r="C115" s="21" t="s">
        <v>9</v>
      </c>
      <c r="D115" s="23" t="s">
        <v>12</v>
      </c>
      <c r="E115" s="23" t="s">
        <v>19</v>
      </c>
      <c r="F115" s="26" t="s">
        <v>18</v>
      </c>
      <c r="G115" s="20">
        <v>3</v>
      </c>
      <c r="H115" s="30">
        <v>39</v>
      </c>
      <c r="I115" s="62"/>
      <c r="J115" s="59" t="str">
        <f>IF(TableSales[[#This Row],[Sales]]&gt;=70, TableSales[[#This Row],[Sales]]*0.05, "No commission")</f>
        <v>No commission</v>
      </c>
      <c r="K115" s="60" t="str">
        <f>LEFT($J$7,6)&amp;TableSales[[#This Row],[Salesperson]]&amp;RIGHT($K$7,10)</f>
        <v>sales.MONIQUE@email.com</v>
      </c>
      <c r="L115" s="60"/>
    </row>
    <row r="116" spans="2:12" ht="15.6">
      <c r="B116" s="27">
        <v>42877</v>
      </c>
      <c r="C116" s="22" t="s">
        <v>13</v>
      </c>
      <c r="D116" s="22" t="s">
        <v>12</v>
      </c>
      <c r="E116" s="22" t="s">
        <v>15</v>
      </c>
      <c r="F116" s="22" t="s">
        <v>10</v>
      </c>
      <c r="G116" s="19">
        <v>8</v>
      </c>
      <c r="H116" s="29">
        <v>96</v>
      </c>
      <c r="I116" s="59"/>
      <c r="J116" s="59">
        <f>IF(TableSales[[#This Row],[Sales]]&gt;=70, TableSales[[#This Row],[Sales]]*0.05, "No commission")</f>
        <v>4.8000000000000007</v>
      </c>
      <c r="K116" s="60" t="str">
        <f>LEFT($J$7,6)&amp;TableSales[[#This Row],[Salesperson]]&amp;RIGHT($K$7,10)</f>
        <v>sales.PETE@email.com</v>
      </c>
      <c r="L116" s="60"/>
    </row>
    <row r="117" spans="2:12" ht="15.6">
      <c r="B117" s="28">
        <v>42881</v>
      </c>
      <c r="C117" s="23" t="s">
        <v>20</v>
      </c>
      <c r="D117" s="23" t="s">
        <v>12</v>
      </c>
      <c r="E117" s="23" t="s">
        <v>11</v>
      </c>
      <c r="F117" s="23" t="s">
        <v>18</v>
      </c>
      <c r="G117" s="20">
        <v>1</v>
      </c>
      <c r="H117" s="30">
        <v>11</v>
      </c>
      <c r="I117" s="62"/>
      <c r="J117" s="59" t="str">
        <f>IF(TableSales[[#This Row],[Sales]]&gt;=70, TableSales[[#This Row],[Sales]]*0.05, "No commission")</f>
        <v>No commission</v>
      </c>
      <c r="K117" s="60" t="str">
        <f>LEFT($J$7,6)&amp;TableSales[[#This Row],[Salesperson]]&amp;RIGHT($K$7,10)</f>
        <v>sales.HARRY@email.com</v>
      </c>
      <c r="L117" s="60"/>
    </row>
    <row r="118" spans="2:12" ht="15.6">
      <c r="B118" s="27">
        <v>42883</v>
      </c>
      <c r="C118" s="22" t="s">
        <v>24</v>
      </c>
      <c r="D118" s="22" t="s">
        <v>12</v>
      </c>
      <c r="E118" s="22" t="s">
        <v>11</v>
      </c>
      <c r="F118" s="22" t="s">
        <v>14</v>
      </c>
      <c r="G118" s="19">
        <v>8</v>
      </c>
      <c r="H118" s="29">
        <v>88</v>
      </c>
      <c r="I118" s="59"/>
      <c r="J118" s="59">
        <f>IF(TableSales[[#This Row],[Sales]]&gt;=70, TableSales[[#This Row],[Sales]]*0.05, "No commission")</f>
        <v>4.4000000000000004</v>
      </c>
      <c r="K118" s="60" t="str">
        <f>LEFT($J$7,6)&amp;TableSales[[#This Row],[Salesperson]]&amp;RIGHT($K$7,10)</f>
        <v>sales.EDGAR@email.com</v>
      </c>
      <c r="L118" s="60"/>
    </row>
    <row r="119" spans="2:12" ht="15.6">
      <c r="B119" s="28">
        <v>42885</v>
      </c>
      <c r="C119" s="23" t="s">
        <v>22</v>
      </c>
      <c r="D119" s="23" t="s">
        <v>23</v>
      </c>
      <c r="E119" s="23" t="s">
        <v>19</v>
      </c>
      <c r="F119" s="23" t="s">
        <v>18</v>
      </c>
      <c r="G119" s="20">
        <v>5</v>
      </c>
      <c r="H119" s="30">
        <v>65</v>
      </c>
      <c r="I119" s="62"/>
      <c r="J119" s="59" t="str">
        <f>IF(TableSales[[#This Row],[Sales]]&gt;=70, TableSales[[#This Row],[Sales]]*0.05, "No commission")</f>
        <v>No commission</v>
      </c>
      <c r="K119" s="60" t="str">
        <f>LEFT($J$7,6)&amp;TableSales[[#This Row],[Salesperson]]&amp;RIGHT($K$7,10)</f>
        <v>sales.MARIO@email.com</v>
      </c>
      <c r="L119" s="60"/>
    </row>
    <row r="120" spans="2:12" ht="15.6">
      <c r="B120" s="27">
        <v>42889</v>
      </c>
      <c r="C120" s="22" t="s">
        <v>22</v>
      </c>
      <c r="D120" s="22" t="s">
        <v>16</v>
      </c>
      <c r="E120" s="22" t="s">
        <v>15</v>
      </c>
      <c r="F120" s="22" t="s">
        <v>10</v>
      </c>
      <c r="G120" s="19">
        <v>1</v>
      </c>
      <c r="H120" s="29">
        <v>12</v>
      </c>
      <c r="I120" s="59"/>
      <c r="J120" s="59" t="str">
        <f>IF(TableSales[[#This Row],[Sales]]&gt;=70, TableSales[[#This Row],[Sales]]*0.05, "No commission")</f>
        <v>No commission</v>
      </c>
      <c r="K120" s="60" t="str">
        <f>LEFT($J$7,6)&amp;TableSales[[#This Row],[Salesperson]]&amp;RIGHT($K$7,10)</f>
        <v>sales.MARIO@email.com</v>
      </c>
      <c r="L120" s="60"/>
    </row>
    <row r="121" spans="2:12" ht="15.6">
      <c r="B121" s="28">
        <v>42892</v>
      </c>
      <c r="C121" s="23" t="s">
        <v>20</v>
      </c>
      <c r="D121" s="23" t="s">
        <v>12</v>
      </c>
      <c r="E121" s="23" t="s">
        <v>11</v>
      </c>
      <c r="F121" s="23" t="s">
        <v>10</v>
      </c>
      <c r="G121" s="20">
        <v>8</v>
      </c>
      <c r="H121" s="30">
        <v>88</v>
      </c>
      <c r="I121" s="62"/>
      <c r="J121" s="59">
        <f>IF(TableSales[[#This Row],[Sales]]&gt;=70, TableSales[[#This Row],[Sales]]*0.05, "No commission")</f>
        <v>4.4000000000000004</v>
      </c>
      <c r="K121" s="60" t="str">
        <f>LEFT($J$7,6)&amp;TableSales[[#This Row],[Salesperson]]&amp;RIGHT($K$7,10)</f>
        <v>sales.HARRY@email.com</v>
      </c>
      <c r="L121" s="60"/>
    </row>
    <row r="122" spans="2:12" ht="15.6">
      <c r="B122" s="27">
        <v>42894</v>
      </c>
      <c r="C122" s="22" t="s">
        <v>22</v>
      </c>
      <c r="D122" s="22" t="s">
        <v>12</v>
      </c>
      <c r="E122" s="22" t="s">
        <v>19</v>
      </c>
      <c r="F122" s="22" t="s">
        <v>14</v>
      </c>
      <c r="G122" s="19">
        <v>1</v>
      </c>
      <c r="H122" s="29">
        <v>13</v>
      </c>
      <c r="I122" s="59"/>
      <c r="J122" s="59" t="str">
        <f>IF(TableSales[[#This Row],[Sales]]&gt;=70, TableSales[[#This Row],[Sales]]*0.05, "No commission")</f>
        <v>No commission</v>
      </c>
      <c r="K122" s="60" t="str">
        <f>LEFT($J$7,6)&amp;TableSales[[#This Row],[Salesperson]]&amp;RIGHT($K$7,10)</f>
        <v>sales.MARIO@email.com</v>
      </c>
      <c r="L122" s="60"/>
    </row>
    <row r="123" spans="2:12" ht="15.6">
      <c r="B123" s="28">
        <v>42896</v>
      </c>
      <c r="C123" s="23" t="s">
        <v>17</v>
      </c>
      <c r="D123" s="23" t="s">
        <v>12</v>
      </c>
      <c r="E123" s="23" t="s">
        <v>15</v>
      </c>
      <c r="F123" s="23" t="s">
        <v>18</v>
      </c>
      <c r="G123" s="20">
        <v>6</v>
      </c>
      <c r="H123" s="30">
        <v>72</v>
      </c>
      <c r="I123" s="62"/>
      <c r="J123" s="59">
        <f>IF(TableSales[[#This Row],[Sales]]&gt;=70, TableSales[[#This Row],[Sales]]*0.05, "No commission")</f>
        <v>3.6</v>
      </c>
      <c r="K123" s="60" t="str">
        <f>LEFT($J$7,6)&amp;TableSales[[#This Row],[Salesperson]]&amp;RIGHT($K$7,10)</f>
        <v>sales.LAUREN@email.com</v>
      </c>
      <c r="L123" s="60"/>
    </row>
    <row r="124" spans="2:12" ht="15.6">
      <c r="B124" s="27">
        <v>42900</v>
      </c>
      <c r="C124" s="22" t="s">
        <v>24</v>
      </c>
      <c r="D124" s="22" t="s">
        <v>21</v>
      </c>
      <c r="E124" s="22" t="s">
        <v>11</v>
      </c>
      <c r="F124" s="22" t="s">
        <v>14</v>
      </c>
      <c r="G124" s="19">
        <v>5</v>
      </c>
      <c r="H124" s="29">
        <v>55</v>
      </c>
      <c r="I124" s="59"/>
      <c r="J124" s="59" t="str">
        <f>IF(TableSales[[#This Row],[Sales]]&gt;=70, TableSales[[#This Row],[Sales]]*0.05, "No commission")</f>
        <v>No commission</v>
      </c>
      <c r="K124" s="60" t="str">
        <f>LEFT($J$7,6)&amp;TableSales[[#This Row],[Salesperson]]&amp;RIGHT($K$7,10)</f>
        <v>sales.EDGAR@email.com</v>
      </c>
      <c r="L124" s="60"/>
    </row>
    <row r="125" spans="2:12" ht="15.6">
      <c r="B125" s="28">
        <v>42903</v>
      </c>
      <c r="C125" s="21" t="s">
        <v>9</v>
      </c>
      <c r="D125" s="23" t="s">
        <v>23</v>
      </c>
      <c r="E125" s="23" t="s">
        <v>15</v>
      </c>
      <c r="F125" s="26" t="s">
        <v>18</v>
      </c>
      <c r="G125" s="20">
        <v>3</v>
      </c>
      <c r="H125" s="30">
        <v>36</v>
      </c>
      <c r="I125" s="62"/>
      <c r="J125" s="59" t="str">
        <f>IF(TableSales[[#This Row],[Sales]]&gt;=70, TableSales[[#This Row],[Sales]]*0.05, "No commission")</f>
        <v>No commission</v>
      </c>
      <c r="K125" s="60" t="str">
        <f>LEFT($J$7,6)&amp;TableSales[[#This Row],[Salesperson]]&amp;RIGHT($K$7,10)</f>
        <v>sales.MONIQUE@email.com</v>
      </c>
      <c r="L125" s="60"/>
    </row>
    <row r="126" spans="2:12" ht="15.6">
      <c r="B126" s="28">
        <v>42904</v>
      </c>
      <c r="C126" s="23" t="s">
        <v>20</v>
      </c>
      <c r="D126" s="23" t="s">
        <v>16</v>
      </c>
      <c r="E126" s="23" t="s">
        <v>19</v>
      </c>
      <c r="F126" s="23" t="s">
        <v>10</v>
      </c>
      <c r="G126" s="20">
        <v>8</v>
      </c>
      <c r="H126" s="30">
        <v>104</v>
      </c>
      <c r="I126" s="62"/>
      <c r="J126" s="59">
        <f>IF(TableSales[[#This Row],[Sales]]&gt;=70, TableSales[[#This Row],[Sales]]*0.05, "No commission")</f>
        <v>5.2</v>
      </c>
      <c r="K126" s="60" t="str">
        <f>LEFT($J$7,6)&amp;TableSales[[#This Row],[Salesperson]]&amp;RIGHT($K$7,10)</f>
        <v>sales.HARRY@email.com</v>
      </c>
      <c r="L126" s="60"/>
    </row>
    <row r="127" spans="2:12" ht="15.6">
      <c r="B127" s="27">
        <v>42907</v>
      </c>
      <c r="C127" s="22" t="s">
        <v>13</v>
      </c>
      <c r="D127" s="22" t="s">
        <v>23</v>
      </c>
      <c r="E127" s="22" t="s">
        <v>11</v>
      </c>
      <c r="F127" s="22" t="s">
        <v>18</v>
      </c>
      <c r="G127" s="19">
        <v>1</v>
      </c>
      <c r="H127" s="29">
        <v>11</v>
      </c>
      <c r="I127" s="59"/>
      <c r="J127" s="59" t="str">
        <f>IF(TableSales[[#This Row],[Sales]]&gt;=70, TableSales[[#This Row],[Sales]]*0.05, "No commission")</f>
        <v>No commission</v>
      </c>
      <c r="K127" s="60" t="str">
        <f>LEFT($J$7,6)&amp;TableSales[[#This Row],[Salesperson]]&amp;RIGHT($K$7,10)</f>
        <v>sales.PETE@email.com</v>
      </c>
      <c r="L127" s="60"/>
    </row>
    <row r="128" spans="2:12" ht="15.6">
      <c r="B128" s="27">
        <v>42908</v>
      </c>
      <c r="C128" s="22" t="s">
        <v>22</v>
      </c>
      <c r="D128" s="22" t="s">
        <v>21</v>
      </c>
      <c r="E128" s="22" t="s">
        <v>15</v>
      </c>
      <c r="F128" s="22" t="s">
        <v>14</v>
      </c>
      <c r="G128" s="19">
        <v>3</v>
      </c>
      <c r="H128" s="29">
        <v>36</v>
      </c>
      <c r="I128" s="59"/>
      <c r="J128" s="59" t="str">
        <f>IF(TableSales[[#This Row],[Sales]]&gt;=70, TableSales[[#This Row],[Sales]]*0.05, "No commission")</f>
        <v>No commission</v>
      </c>
      <c r="K128" s="60" t="str">
        <f>LEFT($J$7,6)&amp;TableSales[[#This Row],[Salesperson]]&amp;RIGHT($K$7,10)</f>
        <v>sales.MARIO@email.com</v>
      </c>
      <c r="L128" s="60"/>
    </row>
    <row r="129" spans="2:12" ht="15.6">
      <c r="B129" s="28">
        <v>42911</v>
      </c>
      <c r="C129" s="23" t="s">
        <v>13</v>
      </c>
      <c r="D129" s="23" t="s">
        <v>16</v>
      </c>
      <c r="E129" s="23" t="s">
        <v>15</v>
      </c>
      <c r="F129" s="23" t="s">
        <v>10</v>
      </c>
      <c r="G129" s="20">
        <v>4</v>
      </c>
      <c r="H129" s="30">
        <v>48</v>
      </c>
      <c r="I129" s="62"/>
      <c r="J129" s="59" t="str">
        <f>IF(TableSales[[#This Row],[Sales]]&gt;=70, TableSales[[#This Row],[Sales]]*0.05, "No commission")</f>
        <v>No commission</v>
      </c>
      <c r="K129" s="60" t="str">
        <f>LEFT($J$7,6)&amp;TableSales[[#This Row],[Salesperson]]&amp;RIGHT($K$7,10)</f>
        <v>sales.PETE@email.com</v>
      </c>
      <c r="L129" s="60"/>
    </row>
    <row r="130" spans="2:12" ht="15.6">
      <c r="B130" s="27">
        <v>42915</v>
      </c>
      <c r="C130" s="22" t="s">
        <v>17</v>
      </c>
      <c r="D130" s="22" t="s">
        <v>23</v>
      </c>
      <c r="E130" s="22" t="s">
        <v>19</v>
      </c>
      <c r="F130" s="22" t="s">
        <v>14</v>
      </c>
      <c r="G130" s="19">
        <v>8</v>
      </c>
      <c r="H130" s="29">
        <v>104</v>
      </c>
      <c r="I130" s="59"/>
      <c r="J130" s="59">
        <f>IF(TableSales[[#This Row],[Sales]]&gt;=70, TableSales[[#This Row],[Sales]]*0.05, "No commission")</f>
        <v>5.2</v>
      </c>
      <c r="K130" s="60" t="str">
        <f>LEFT($J$7,6)&amp;TableSales[[#This Row],[Salesperson]]&amp;RIGHT($K$7,10)</f>
        <v>sales.LAUREN@email.com</v>
      </c>
      <c r="L130" s="60"/>
    </row>
    <row r="131" spans="2:12" ht="15.6">
      <c r="B131" s="28">
        <v>42919</v>
      </c>
      <c r="C131" s="23" t="s">
        <v>20</v>
      </c>
      <c r="D131" s="23" t="s">
        <v>21</v>
      </c>
      <c r="E131" s="23" t="s">
        <v>11</v>
      </c>
      <c r="F131" s="23" t="s">
        <v>18</v>
      </c>
      <c r="G131" s="20">
        <v>7</v>
      </c>
      <c r="H131" s="30">
        <v>77</v>
      </c>
      <c r="I131" s="62"/>
      <c r="J131" s="59">
        <f>IF(TableSales[[#This Row],[Sales]]&gt;=70, TableSales[[#This Row],[Sales]]*0.05, "No commission")</f>
        <v>3.85</v>
      </c>
      <c r="K131" s="60" t="str">
        <f>LEFT($J$7,6)&amp;TableSales[[#This Row],[Salesperson]]&amp;RIGHT($K$7,10)</f>
        <v>sales.HARRY@email.com</v>
      </c>
      <c r="L131" s="60"/>
    </row>
    <row r="132" spans="2:12" ht="15.6">
      <c r="B132" s="27">
        <v>42923</v>
      </c>
      <c r="C132" s="22" t="s">
        <v>24</v>
      </c>
      <c r="D132" s="22" t="s">
        <v>12</v>
      </c>
      <c r="E132" s="22" t="s">
        <v>11</v>
      </c>
      <c r="F132" s="22" t="s">
        <v>18</v>
      </c>
      <c r="G132" s="19">
        <v>5</v>
      </c>
      <c r="H132" s="29">
        <v>55</v>
      </c>
      <c r="I132" s="59"/>
      <c r="J132" s="59" t="str">
        <f>IF(TableSales[[#This Row],[Sales]]&gt;=70, TableSales[[#This Row],[Sales]]*0.05, "No commission")</f>
        <v>No commission</v>
      </c>
      <c r="K132" s="60" t="str">
        <f>LEFT($J$7,6)&amp;TableSales[[#This Row],[Salesperson]]&amp;RIGHT($K$7,10)</f>
        <v>sales.EDGAR@email.com</v>
      </c>
      <c r="L132" s="60"/>
    </row>
    <row r="133" spans="2:12" ht="15.6">
      <c r="B133" s="28">
        <v>42927</v>
      </c>
      <c r="C133" s="21" t="s">
        <v>9</v>
      </c>
      <c r="D133" s="23" t="s">
        <v>23</v>
      </c>
      <c r="E133" s="23" t="s">
        <v>15</v>
      </c>
      <c r="F133" s="26" t="s">
        <v>10</v>
      </c>
      <c r="G133" s="20">
        <v>2</v>
      </c>
      <c r="H133" s="30">
        <v>24</v>
      </c>
      <c r="I133" s="62"/>
      <c r="J133" s="59" t="str">
        <f>IF(TableSales[[#This Row],[Sales]]&gt;=70, TableSales[[#This Row],[Sales]]*0.05, "No commission")</f>
        <v>No commission</v>
      </c>
      <c r="K133" s="60" t="str">
        <f>LEFT($J$7,6)&amp;TableSales[[#This Row],[Salesperson]]&amp;RIGHT($K$7,10)</f>
        <v>sales.MONIQUE@email.com</v>
      </c>
      <c r="L133" s="60"/>
    </row>
    <row r="134" spans="2:12" ht="15.6">
      <c r="B134" s="27">
        <v>42931</v>
      </c>
      <c r="C134" s="22" t="s">
        <v>13</v>
      </c>
      <c r="D134" s="22" t="s">
        <v>21</v>
      </c>
      <c r="E134" s="22" t="s">
        <v>11</v>
      </c>
      <c r="F134" s="22" t="s">
        <v>10</v>
      </c>
      <c r="G134" s="19">
        <v>5</v>
      </c>
      <c r="H134" s="29">
        <v>55</v>
      </c>
      <c r="I134" s="59"/>
      <c r="J134" s="59" t="str">
        <f>IF(TableSales[[#This Row],[Sales]]&gt;=70, TableSales[[#This Row],[Sales]]*0.05, "No commission")</f>
        <v>No commission</v>
      </c>
      <c r="K134" s="60" t="str">
        <f>LEFT($J$7,6)&amp;TableSales[[#This Row],[Salesperson]]&amp;RIGHT($K$7,10)</f>
        <v>sales.PETE@email.com</v>
      </c>
      <c r="L134" s="60"/>
    </row>
    <row r="135" spans="2:12" ht="15.6">
      <c r="B135" s="28">
        <v>42934</v>
      </c>
      <c r="C135" s="21" t="s">
        <v>9</v>
      </c>
      <c r="D135" s="23" t="s">
        <v>12</v>
      </c>
      <c r="E135" s="23" t="s">
        <v>19</v>
      </c>
      <c r="F135" s="26" t="s">
        <v>10</v>
      </c>
      <c r="G135" s="20">
        <v>7</v>
      </c>
      <c r="H135" s="30">
        <v>91</v>
      </c>
      <c r="I135" s="62"/>
      <c r="J135" s="59">
        <f>IF(TableSales[[#This Row],[Sales]]&gt;=70, TableSales[[#This Row],[Sales]]*0.05, "No commission")</f>
        <v>4.55</v>
      </c>
      <c r="K135" s="60" t="str">
        <f>LEFT($J$7,6)&amp;TableSales[[#This Row],[Salesperson]]&amp;RIGHT($K$7,10)</f>
        <v>sales.MONIQUE@email.com</v>
      </c>
      <c r="L135" s="60"/>
    </row>
    <row r="136" spans="2:12" ht="15.6">
      <c r="B136" s="27">
        <v>42936</v>
      </c>
      <c r="C136" s="22" t="s">
        <v>17</v>
      </c>
      <c r="D136" s="22" t="s">
        <v>12</v>
      </c>
      <c r="E136" s="22" t="s">
        <v>19</v>
      </c>
      <c r="F136" s="22" t="s">
        <v>14</v>
      </c>
      <c r="G136" s="19">
        <v>1</v>
      </c>
      <c r="H136" s="29">
        <v>13</v>
      </c>
      <c r="I136" s="59"/>
      <c r="J136" s="59" t="str">
        <f>IF(TableSales[[#This Row],[Sales]]&gt;=70, TableSales[[#This Row],[Sales]]*0.05, "No commission")</f>
        <v>No commission</v>
      </c>
      <c r="K136" s="60" t="str">
        <f>LEFT($J$7,6)&amp;TableSales[[#This Row],[Salesperson]]&amp;RIGHT($K$7,10)</f>
        <v>sales.LAUREN@email.com</v>
      </c>
      <c r="L136" s="60"/>
    </row>
    <row r="137" spans="2:12" ht="15.6">
      <c r="B137" s="28">
        <v>42940</v>
      </c>
      <c r="C137" s="23" t="s">
        <v>20</v>
      </c>
      <c r="D137" s="23" t="s">
        <v>12</v>
      </c>
      <c r="E137" s="23" t="s">
        <v>11</v>
      </c>
      <c r="F137" s="23" t="s">
        <v>18</v>
      </c>
      <c r="G137" s="20">
        <v>7</v>
      </c>
      <c r="H137" s="30">
        <v>77</v>
      </c>
      <c r="I137" s="62"/>
      <c r="J137" s="59">
        <f>IF(TableSales[[#This Row],[Sales]]&gt;=70, TableSales[[#This Row],[Sales]]*0.05, "No commission")</f>
        <v>3.85</v>
      </c>
      <c r="K137" s="60" t="str">
        <f>LEFT($J$7,6)&amp;TableSales[[#This Row],[Salesperson]]&amp;RIGHT($K$7,10)</f>
        <v>sales.HARRY@email.com</v>
      </c>
      <c r="L137" s="60"/>
    </row>
    <row r="138" spans="2:12" ht="15.6">
      <c r="B138" s="27">
        <v>42944</v>
      </c>
      <c r="C138" s="22" t="s">
        <v>13</v>
      </c>
      <c r="D138" s="22" t="s">
        <v>21</v>
      </c>
      <c r="E138" s="22" t="s">
        <v>15</v>
      </c>
      <c r="F138" s="22" t="s">
        <v>18</v>
      </c>
      <c r="G138" s="19">
        <v>4</v>
      </c>
      <c r="H138" s="29">
        <v>48</v>
      </c>
      <c r="I138" s="59"/>
      <c r="J138" s="59" t="str">
        <f>IF(TableSales[[#This Row],[Sales]]&gt;=70, TableSales[[#This Row],[Sales]]*0.05, "No commission")</f>
        <v>No commission</v>
      </c>
      <c r="K138" s="60" t="str">
        <f>LEFT($J$7,6)&amp;TableSales[[#This Row],[Salesperson]]&amp;RIGHT($K$7,10)</f>
        <v>sales.PETE@email.com</v>
      </c>
      <c r="L138" s="60"/>
    </row>
    <row r="139" spans="2:12" ht="15.6">
      <c r="B139" s="28">
        <v>42946</v>
      </c>
      <c r="C139" s="21" t="s">
        <v>9</v>
      </c>
      <c r="D139" s="23" t="s">
        <v>16</v>
      </c>
      <c r="E139" s="23" t="s">
        <v>11</v>
      </c>
      <c r="F139" s="26" t="s">
        <v>10</v>
      </c>
      <c r="G139" s="20">
        <v>6</v>
      </c>
      <c r="H139" s="30">
        <v>66</v>
      </c>
      <c r="I139" s="62"/>
      <c r="J139" s="59" t="str">
        <f>IF(TableSales[[#This Row],[Sales]]&gt;=70, TableSales[[#This Row],[Sales]]*0.05, "No commission")</f>
        <v>No commission</v>
      </c>
      <c r="K139" s="60" t="str">
        <f>LEFT($J$7,6)&amp;TableSales[[#This Row],[Salesperson]]&amp;RIGHT($K$7,10)</f>
        <v>sales.MONIQUE@email.com</v>
      </c>
      <c r="L139" s="60"/>
    </row>
    <row r="140" spans="2:12" ht="15.6">
      <c r="B140" s="27">
        <v>42950</v>
      </c>
      <c r="C140" s="22" t="s">
        <v>13</v>
      </c>
      <c r="D140" s="22" t="s">
        <v>12</v>
      </c>
      <c r="E140" s="22" t="s">
        <v>15</v>
      </c>
      <c r="F140" s="22" t="s">
        <v>14</v>
      </c>
      <c r="G140" s="19">
        <v>2</v>
      </c>
      <c r="H140" s="29">
        <v>24</v>
      </c>
      <c r="I140" s="59"/>
      <c r="J140" s="59" t="str">
        <f>IF(TableSales[[#This Row],[Sales]]&gt;=70, TableSales[[#This Row],[Sales]]*0.05, "No commission")</f>
        <v>No commission</v>
      </c>
      <c r="K140" s="60" t="str">
        <f>LEFT($J$7,6)&amp;TableSales[[#This Row],[Salesperson]]&amp;RIGHT($K$7,10)</f>
        <v>sales.PETE@email.com</v>
      </c>
      <c r="L140" s="60"/>
    </row>
    <row r="141" spans="2:12" ht="15.6">
      <c r="B141" s="28">
        <v>42952</v>
      </c>
      <c r="C141" s="23" t="s">
        <v>13</v>
      </c>
      <c r="D141" s="23" t="s">
        <v>23</v>
      </c>
      <c r="E141" s="23" t="s">
        <v>15</v>
      </c>
      <c r="F141" s="23" t="s">
        <v>10</v>
      </c>
      <c r="G141" s="20">
        <v>6</v>
      </c>
      <c r="H141" s="30">
        <v>72</v>
      </c>
      <c r="I141" s="62"/>
      <c r="J141" s="59">
        <f>IF(TableSales[[#This Row],[Sales]]&gt;=70, TableSales[[#This Row],[Sales]]*0.05, "No commission")</f>
        <v>3.6</v>
      </c>
      <c r="K141" s="60" t="str">
        <f>LEFT($J$7,6)&amp;TableSales[[#This Row],[Salesperson]]&amp;RIGHT($K$7,10)</f>
        <v>sales.PETE@email.com</v>
      </c>
      <c r="L141" s="60"/>
    </row>
    <row r="142" spans="2:12" ht="15.6">
      <c r="B142" s="27">
        <v>42956</v>
      </c>
      <c r="C142" s="22" t="s">
        <v>17</v>
      </c>
      <c r="D142" s="22" t="s">
        <v>12</v>
      </c>
      <c r="E142" s="22" t="s">
        <v>11</v>
      </c>
      <c r="F142" s="22" t="s">
        <v>18</v>
      </c>
      <c r="G142" s="19">
        <v>8</v>
      </c>
      <c r="H142" s="29">
        <v>88</v>
      </c>
      <c r="I142" s="59"/>
      <c r="J142" s="59">
        <f>IF(TableSales[[#This Row],[Sales]]&gt;=70, TableSales[[#This Row],[Sales]]*0.05, "No commission")</f>
        <v>4.4000000000000004</v>
      </c>
      <c r="K142" s="60" t="str">
        <f>LEFT($J$7,6)&amp;TableSales[[#This Row],[Salesperson]]&amp;RIGHT($K$7,10)</f>
        <v>sales.LAUREN@email.com</v>
      </c>
      <c r="L142" s="60"/>
    </row>
    <row r="143" spans="2:12" ht="15.6">
      <c r="B143" s="28">
        <v>42958</v>
      </c>
      <c r="C143" s="21" t="s">
        <v>9</v>
      </c>
      <c r="D143" s="23" t="s">
        <v>12</v>
      </c>
      <c r="E143" s="23" t="s">
        <v>11</v>
      </c>
      <c r="F143" s="26" t="s">
        <v>10</v>
      </c>
      <c r="G143" s="20">
        <v>7</v>
      </c>
      <c r="H143" s="30">
        <v>77</v>
      </c>
      <c r="I143" s="62"/>
      <c r="J143" s="59">
        <f>IF(TableSales[[#This Row],[Sales]]&gt;=70, TableSales[[#This Row],[Sales]]*0.05, "No commission")</f>
        <v>3.85</v>
      </c>
      <c r="K143" s="60" t="str">
        <f>LEFT($J$7,6)&amp;TableSales[[#This Row],[Salesperson]]&amp;RIGHT($K$7,10)</f>
        <v>sales.MONIQUE@email.com</v>
      </c>
      <c r="L143" s="60"/>
    </row>
    <row r="144" spans="2:12" ht="15.6">
      <c r="B144" s="27">
        <v>42961</v>
      </c>
      <c r="C144" s="24" t="s">
        <v>9</v>
      </c>
      <c r="D144" s="22" t="s">
        <v>16</v>
      </c>
      <c r="E144" s="22" t="s">
        <v>15</v>
      </c>
      <c r="F144" s="25" t="s">
        <v>14</v>
      </c>
      <c r="G144" s="19">
        <v>2</v>
      </c>
      <c r="H144" s="29">
        <v>24</v>
      </c>
      <c r="I144" s="59"/>
      <c r="J144" s="59" t="str">
        <f>IF(TableSales[[#This Row],[Sales]]&gt;=70, TableSales[[#This Row],[Sales]]*0.05, "No commission")</f>
        <v>No commission</v>
      </c>
      <c r="K144" s="60" t="str">
        <f>LEFT($J$7,6)&amp;TableSales[[#This Row],[Salesperson]]&amp;RIGHT($K$7,10)</f>
        <v>sales.MONIQUE@email.com</v>
      </c>
      <c r="L144" s="60"/>
    </row>
    <row r="145" spans="2:12" ht="15.6">
      <c r="B145" s="28">
        <v>42964</v>
      </c>
      <c r="C145" s="23" t="s">
        <v>13</v>
      </c>
      <c r="D145" s="23" t="s">
        <v>23</v>
      </c>
      <c r="E145" s="23" t="s">
        <v>19</v>
      </c>
      <c r="F145" s="23" t="s">
        <v>18</v>
      </c>
      <c r="G145" s="20">
        <v>8</v>
      </c>
      <c r="H145" s="30">
        <v>104</v>
      </c>
      <c r="I145" s="62"/>
      <c r="J145" s="59">
        <f>IF(TableSales[[#This Row],[Sales]]&gt;=70, TableSales[[#This Row],[Sales]]*0.05, "No commission")</f>
        <v>5.2</v>
      </c>
      <c r="K145" s="60" t="str">
        <f>LEFT($J$7,6)&amp;TableSales[[#This Row],[Salesperson]]&amp;RIGHT($K$7,10)</f>
        <v>sales.PETE@email.com</v>
      </c>
      <c r="L145" s="60"/>
    </row>
    <row r="146" spans="2:12" ht="15.6">
      <c r="B146" s="27">
        <v>42967</v>
      </c>
      <c r="C146" s="22" t="s">
        <v>24</v>
      </c>
      <c r="D146" s="22" t="s">
        <v>12</v>
      </c>
      <c r="E146" s="22" t="s">
        <v>19</v>
      </c>
      <c r="F146" s="22" t="s">
        <v>18</v>
      </c>
      <c r="G146" s="19">
        <v>6</v>
      </c>
      <c r="H146" s="29">
        <v>78</v>
      </c>
      <c r="I146" s="59"/>
      <c r="J146" s="59">
        <f>IF(TableSales[[#This Row],[Sales]]&gt;=70, TableSales[[#This Row],[Sales]]*0.05, "No commission")</f>
        <v>3.9000000000000004</v>
      </c>
      <c r="K146" s="60" t="str">
        <f>LEFT($J$7,6)&amp;TableSales[[#This Row],[Salesperson]]&amp;RIGHT($K$7,10)</f>
        <v>sales.EDGAR@email.com</v>
      </c>
      <c r="L146" s="60"/>
    </row>
    <row r="147" spans="2:12" ht="15.6">
      <c r="B147" s="28">
        <v>42971</v>
      </c>
      <c r="C147" s="23" t="s">
        <v>22</v>
      </c>
      <c r="D147" s="23" t="s">
        <v>16</v>
      </c>
      <c r="E147" s="23" t="s">
        <v>11</v>
      </c>
      <c r="F147" s="23" t="s">
        <v>14</v>
      </c>
      <c r="G147" s="20">
        <v>6</v>
      </c>
      <c r="H147" s="30">
        <v>66</v>
      </c>
      <c r="I147" s="62"/>
      <c r="J147" s="59" t="str">
        <f>IF(TableSales[[#This Row],[Sales]]&gt;=70, TableSales[[#This Row],[Sales]]*0.05, "No commission")</f>
        <v>No commission</v>
      </c>
      <c r="K147" s="60" t="str">
        <f>LEFT($J$7,6)&amp;TableSales[[#This Row],[Salesperson]]&amp;RIGHT($K$7,10)</f>
        <v>sales.MARIO@email.com</v>
      </c>
      <c r="L147" s="60"/>
    </row>
    <row r="148" spans="2:12" ht="15.6">
      <c r="B148" s="27">
        <v>42974</v>
      </c>
      <c r="C148" s="22" t="s">
        <v>17</v>
      </c>
      <c r="D148" s="22" t="s">
        <v>12</v>
      </c>
      <c r="E148" s="22" t="s">
        <v>15</v>
      </c>
      <c r="F148" s="22" t="s">
        <v>14</v>
      </c>
      <c r="G148" s="19">
        <v>3</v>
      </c>
      <c r="H148" s="29">
        <v>36</v>
      </c>
      <c r="I148" s="59"/>
      <c r="J148" s="59" t="str">
        <f>IF(TableSales[[#This Row],[Sales]]&gt;=70, TableSales[[#This Row],[Sales]]*0.05, "No commission")</f>
        <v>No commission</v>
      </c>
      <c r="K148" s="60" t="str">
        <f>LEFT($J$7,6)&amp;TableSales[[#This Row],[Salesperson]]&amp;RIGHT($K$7,10)</f>
        <v>sales.LAUREN@email.com</v>
      </c>
      <c r="L148" s="60"/>
    </row>
    <row r="149" spans="2:12" ht="15.6">
      <c r="B149" s="28">
        <v>42976</v>
      </c>
      <c r="C149" s="23" t="s">
        <v>13</v>
      </c>
      <c r="D149" s="23" t="s">
        <v>21</v>
      </c>
      <c r="E149" s="23" t="s">
        <v>11</v>
      </c>
      <c r="F149" s="23" t="s">
        <v>10</v>
      </c>
      <c r="G149" s="20">
        <v>4</v>
      </c>
      <c r="H149" s="30">
        <v>44</v>
      </c>
      <c r="I149" s="62"/>
      <c r="J149" s="59" t="str">
        <f>IF(TableSales[[#This Row],[Sales]]&gt;=70, TableSales[[#This Row],[Sales]]*0.05, "No commission")</f>
        <v>No commission</v>
      </c>
      <c r="K149" s="60" t="str">
        <f>LEFT($J$7,6)&amp;TableSales[[#This Row],[Salesperson]]&amp;RIGHT($K$7,10)</f>
        <v>sales.PETE@email.com</v>
      </c>
      <c r="L149" s="60"/>
    </row>
    <row r="150" spans="2:12" ht="15.6">
      <c r="B150" s="27">
        <v>42978</v>
      </c>
      <c r="C150" s="22" t="s">
        <v>13</v>
      </c>
      <c r="D150" s="22" t="s">
        <v>16</v>
      </c>
      <c r="E150" s="22" t="s">
        <v>11</v>
      </c>
      <c r="F150" s="22" t="s">
        <v>14</v>
      </c>
      <c r="G150" s="19">
        <v>1</v>
      </c>
      <c r="H150" s="29">
        <v>11</v>
      </c>
      <c r="I150" s="59"/>
      <c r="J150" s="59" t="str">
        <f>IF(TableSales[[#This Row],[Sales]]&gt;=70, TableSales[[#This Row],[Sales]]*0.05, "No commission")</f>
        <v>No commission</v>
      </c>
      <c r="K150" s="60" t="str">
        <f>LEFT($J$7,6)&amp;TableSales[[#This Row],[Salesperson]]&amp;RIGHT($K$7,10)</f>
        <v>sales.PETE@email.com</v>
      </c>
      <c r="L150" s="60"/>
    </row>
    <row r="151" spans="2:12" ht="15.6">
      <c r="B151" s="28">
        <v>42980</v>
      </c>
      <c r="C151" s="23" t="s">
        <v>22</v>
      </c>
      <c r="D151" s="23" t="s">
        <v>16</v>
      </c>
      <c r="E151" s="23" t="s">
        <v>11</v>
      </c>
      <c r="F151" s="23" t="s">
        <v>14</v>
      </c>
      <c r="G151" s="20">
        <v>1</v>
      </c>
      <c r="H151" s="30">
        <v>11</v>
      </c>
      <c r="I151" s="62"/>
      <c r="J151" s="59" t="str">
        <f>IF(TableSales[[#This Row],[Sales]]&gt;=70, TableSales[[#This Row],[Sales]]*0.05, "No commission")</f>
        <v>No commission</v>
      </c>
      <c r="K151" s="60" t="str">
        <f>LEFT($J$7,6)&amp;TableSales[[#This Row],[Salesperson]]&amp;RIGHT($K$7,10)</f>
        <v>sales.MARIO@email.com</v>
      </c>
      <c r="L151" s="60"/>
    </row>
    <row r="152" spans="2:12" ht="15.6">
      <c r="B152" s="27">
        <v>42984</v>
      </c>
      <c r="C152" s="22" t="s">
        <v>20</v>
      </c>
      <c r="D152" s="22" t="s">
        <v>23</v>
      </c>
      <c r="E152" s="22" t="s">
        <v>19</v>
      </c>
      <c r="F152" s="22" t="s">
        <v>14</v>
      </c>
      <c r="G152" s="19">
        <v>6</v>
      </c>
      <c r="H152" s="29">
        <v>78</v>
      </c>
      <c r="I152" s="59"/>
      <c r="J152" s="59">
        <f>IF(TableSales[[#This Row],[Sales]]&gt;=70, TableSales[[#This Row],[Sales]]*0.05, "No commission")</f>
        <v>3.9000000000000004</v>
      </c>
      <c r="K152" s="60" t="str">
        <f>LEFT($J$7,6)&amp;TableSales[[#This Row],[Salesperson]]&amp;RIGHT($K$7,10)</f>
        <v>sales.HARRY@email.com</v>
      </c>
      <c r="L152" s="60"/>
    </row>
    <row r="153" spans="2:12" ht="15.6">
      <c r="B153" s="28">
        <v>42988</v>
      </c>
      <c r="C153" s="23" t="s">
        <v>20</v>
      </c>
      <c r="D153" s="23" t="s">
        <v>23</v>
      </c>
      <c r="E153" s="23" t="s">
        <v>11</v>
      </c>
      <c r="F153" s="23" t="s">
        <v>18</v>
      </c>
      <c r="G153" s="20">
        <v>3</v>
      </c>
      <c r="H153" s="30">
        <v>33</v>
      </c>
      <c r="I153" s="62"/>
      <c r="J153" s="59" t="str">
        <f>IF(TableSales[[#This Row],[Sales]]&gt;=70, TableSales[[#This Row],[Sales]]*0.05, "No commission")</f>
        <v>No commission</v>
      </c>
      <c r="K153" s="60" t="str">
        <f>LEFT($J$7,6)&amp;TableSales[[#This Row],[Salesperson]]&amp;RIGHT($K$7,10)</f>
        <v>sales.HARRY@email.com</v>
      </c>
      <c r="L153" s="60"/>
    </row>
    <row r="154" spans="2:12" ht="15.6">
      <c r="B154" s="27">
        <v>42990</v>
      </c>
      <c r="C154" s="22" t="s">
        <v>24</v>
      </c>
      <c r="D154" s="22" t="s">
        <v>16</v>
      </c>
      <c r="E154" s="22" t="s">
        <v>15</v>
      </c>
      <c r="F154" s="22" t="s">
        <v>10</v>
      </c>
      <c r="G154" s="19">
        <v>4</v>
      </c>
      <c r="H154" s="29">
        <v>48</v>
      </c>
      <c r="I154" s="59"/>
      <c r="J154" s="59" t="str">
        <f>IF(TableSales[[#This Row],[Sales]]&gt;=70, TableSales[[#This Row],[Sales]]*0.05, "No commission")</f>
        <v>No commission</v>
      </c>
      <c r="K154" s="60" t="str">
        <f>LEFT($J$7,6)&amp;TableSales[[#This Row],[Salesperson]]&amp;RIGHT($K$7,10)</f>
        <v>sales.EDGAR@email.com</v>
      </c>
      <c r="L154" s="60"/>
    </row>
    <row r="155" spans="2:12" ht="15.6">
      <c r="B155" s="28">
        <v>42994</v>
      </c>
      <c r="C155" s="23" t="s">
        <v>22</v>
      </c>
      <c r="D155" s="23" t="s">
        <v>16</v>
      </c>
      <c r="E155" s="23" t="s">
        <v>15</v>
      </c>
      <c r="F155" s="23" t="s">
        <v>10</v>
      </c>
      <c r="G155" s="20">
        <v>4</v>
      </c>
      <c r="H155" s="30">
        <v>48</v>
      </c>
      <c r="I155" s="62"/>
      <c r="J155" s="59" t="str">
        <f>IF(TableSales[[#This Row],[Sales]]&gt;=70, TableSales[[#This Row],[Sales]]*0.05, "No commission")</f>
        <v>No commission</v>
      </c>
      <c r="K155" s="60" t="str">
        <f>LEFT($J$7,6)&amp;TableSales[[#This Row],[Salesperson]]&amp;RIGHT($K$7,10)</f>
        <v>sales.MARIO@email.com</v>
      </c>
      <c r="L155" s="60"/>
    </row>
    <row r="156" spans="2:12" ht="15.6">
      <c r="B156" s="27">
        <v>42996</v>
      </c>
      <c r="C156" s="22" t="s">
        <v>24</v>
      </c>
      <c r="D156" s="22" t="s">
        <v>12</v>
      </c>
      <c r="E156" s="22" t="s">
        <v>19</v>
      </c>
      <c r="F156" s="22" t="s">
        <v>18</v>
      </c>
      <c r="G156" s="19">
        <v>7</v>
      </c>
      <c r="H156" s="29">
        <v>91</v>
      </c>
      <c r="I156" s="59"/>
      <c r="J156" s="59">
        <f>IF(TableSales[[#This Row],[Sales]]&gt;=70, TableSales[[#This Row],[Sales]]*0.05, "No commission")</f>
        <v>4.55</v>
      </c>
      <c r="K156" s="60" t="str">
        <f>LEFT($J$7,6)&amp;TableSales[[#This Row],[Salesperson]]&amp;RIGHT($K$7,10)</f>
        <v>sales.EDGAR@email.com</v>
      </c>
      <c r="L156" s="60"/>
    </row>
    <row r="157" spans="2:12" ht="15.6">
      <c r="B157" s="28">
        <v>43000</v>
      </c>
      <c r="C157" s="23" t="s">
        <v>17</v>
      </c>
      <c r="D157" s="23" t="s">
        <v>23</v>
      </c>
      <c r="E157" s="23" t="s">
        <v>11</v>
      </c>
      <c r="F157" s="23" t="s">
        <v>10</v>
      </c>
      <c r="G157" s="20">
        <v>4</v>
      </c>
      <c r="H157" s="30">
        <v>44</v>
      </c>
      <c r="I157" s="62"/>
      <c r="J157" s="59" t="str">
        <f>IF(TableSales[[#This Row],[Sales]]&gt;=70, TableSales[[#This Row],[Sales]]*0.05, "No commission")</f>
        <v>No commission</v>
      </c>
      <c r="K157" s="60" t="str">
        <f>LEFT($J$7,6)&amp;TableSales[[#This Row],[Salesperson]]&amp;RIGHT($K$7,10)</f>
        <v>sales.LAUREN@email.com</v>
      </c>
      <c r="L157" s="60"/>
    </row>
    <row r="158" spans="2:12" ht="15.6">
      <c r="B158" s="27">
        <v>43003</v>
      </c>
      <c r="C158" s="22" t="s">
        <v>22</v>
      </c>
      <c r="D158" s="22" t="s">
        <v>21</v>
      </c>
      <c r="E158" s="22" t="s">
        <v>19</v>
      </c>
      <c r="F158" s="22" t="s">
        <v>14</v>
      </c>
      <c r="G158" s="19">
        <v>2</v>
      </c>
      <c r="H158" s="29">
        <v>26</v>
      </c>
      <c r="I158" s="59"/>
      <c r="J158" s="59" t="str">
        <f>IF(TableSales[[#This Row],[Sales]]&gt;=70, TableSales[[#This Row],[Sales]]*0.05, "No commission")</f>
        <v>No commission</v>
      </c>
      <c r="K158" s="60" t="str">
        <f>LEFT($J$7,6)&amp;TableSales[[#This Row],[Salesperson]]&amp;RIGHT($K$7,10)</f>
        <v>sales.MARIO@email.com</v>
      </c>
      <c r="L158" s="60"/>
    </row>
    <row r="159" spans="2:12" ht="15.6">
      <c r="B159" s="28">
        <v>43007</v>
      </c>
      <c r="C159" s="23" t="s">
        <v>13</v>
      </c>
      <c r="D159" s="23" t="s">
        <v>16</v>
      </c>
      <c r="E159" s="23" t="s">
        <v>11</v>
      </c>
      <c r="F159" s="23" t="s">
        <v>10</v>
      </c>
      <c r="G159" s="20">
        <v>8</v>
      </c>
      <c r="H159" s="30">
        <v>88</v>
      </c>
      <c r="I159" s="62"/>
      <c r="J159" s="59">
        <f>IF(TableSales[[#This Row],[Sales]]&gt;=70, TableSales[[#This Row],[Sales]]*0.05, "No commission")</f>
        <v>4.4000000000000004</v>
      </c>
      <c r="K159" s="60" t="str">
        <f>LEFT($J$7,6)&amp;TableSales[[#This Row],[Salesperson]]&amp;RIGHT($K$7,10)</f>
        <v>sales.PETE@email.com</v>
      </c>
      <c r="L159" s="60"/>
    </row>
    <row r="160" spans="2:12" ht="15.6">
      <c r="B160" s="27">
        <v>43010</v>
      </c>
      <c r="C160" s="22" t="s">
        <v>13</v>
      </c>
      <c r="D160" s="22" t="s">
        <v>21</v>
      </c>
      <c r="E160" s="22" t="s">
        <v>11</v>
      </c>
      <c r="F160" s="22" t="s">
        <v>14</v>
      </c>
      <c r="G160" s="19">
        <v>3</v>
      </c>
      <c r="H160" s="29">
        <v>33</v>
      </c>
      <c r="I160" s="59"/>
      <c r="J160" s="59" t="str">
        <f>IF(TableSales[[#This Row],[Sales]]&gt;=70, TableSales[[#This Row],[Sales]]*0.05, "No commission")</f>
        <v>No commission</v>
      </c>
      <c r="K160" s="60" t="str">
        <f>LEFT($J$7,6)&amp;TableSales[[#This Row],[Salesperson]]&amp;RIGHT($K$7,10)</f>
        <v>sales.PETE@email.com</v>
      </c>
      <c r="L160" s="60"/>
    </row>
    <row r="161" spans="2:12" ht="15.6">
      <c r="B161" s="28">
        <v>43012</v>
      </c>
      <c r="C161" s="21" t="s">
        <v>9</v>
      </c>
      <c r="D161" s="23" t="s">
        <v>21</v>
      </c>
      <c r="E161" s="23" t="s">
        <v>19</v>
      </c>
      <c r="F161" s="26" t="s">
        <v>10</v>
      </c>
      <c r="G161" s="20">
        <v>5</v>
      </c>
      <c r="H161" s="30">
        <v>65</v>
      </c>
      <c r="I161" s="62"/>
      <c r="J161" s="59" t="str">
        <f>IF(TableSales[[#This Row],[Sales]]&gt;=70, TableSales[[#This Row],[Sales]]*0.05, "No commission")</f>
        <v>No commission</v>
      </c>
      <c r="K161" s="60" t="str">
        <f>LEFT($J$7,6)&amp;TableSales[[#This Row],[Salesperson]]&amp;RIGHT($K$7,10)</f>
        <v>sales.MONIQUE@email.com</v>
      </c>
      <c r="L161" s="60"/>
    </row>
    <row r="162" spans="2:12" ht="15.6">
      <c r="B162" s="27">
        <v>43014</v>
      </c>
      <c r="C162" s="22" t="s">
        <v>24</v>
      </c>
      <c r="D162" s="22" t="s">
        <v>21</v>
      </c>
      <c r="E162" s="22" t="s">
        <v>15</v>
      </c>
      <c r="F162" s="22" t="s">
        <v>10</v>
      </c>
      <c r="G162" s="19">
        <v>1</v>
      </c>
      <c r="H162" s="29">
        <v>12</v>
      </c>
      <c r="I162" s="59"/>
      <c r="J162" s="59" t="str">
        <f>IF(TableSales[[#This Row],[Sales]]&gt;=70, TableSales[[#This Row],[Sales]]*0.05, "No commission")</f>
        <v>No commission</v>
      </c>
      <c r="K162" s="60" t="str">
        <f>LEFT($J$7,6)&amp;TableSales[[#This Row],[Salesperson]]&amp;RIGHT($K$7,10)</f>
        <v>sales.EDGAR@email.com</v>
      </c>
      <c r="L162" s="60"/>
    </row>
    <row r="163" spans="2:12" ht="15.6">
      <c r="B163" s="28">
        <v>43018</v>
      </c>
      <c r="C163" s="23" t="s">
        <v>13</v>
      </c>
      <c r="D163" s="23" t="s">
        <v>12</v>
      </c>
      <c r="E163" s="23" t="s">
        <v>19</v>
      </c>
      <c r="F163" s="23" t="s">
        <v>18</v>
      </c>
      <c r="G163" s="20">
        <v>4</v>
      </c>
      <c r="H163" s="30">
        <v>52</v>
      </c>
      <c r="I163" s="62"/>
      <c r="J163" s="59" t="str">
        <f>IF(TableSales[[#This Row],[Sales]]&gt;=70, TableSales[[#This Row],[Sales]]*0.05, "No commission")</f>
        <v>No commission</v>
      </c>
      <c r="K163" s="60" t="str">
        <f>LEFT($J$7,6)&amp;TableSales[[#This Row],[Salesperson]]&amp;RIGHT($K$7,10)</f>
        <v>sales.PETE@email.com</v>
      </c>
      <c r="L163" s="60"/>
    </row>
    <row r="164" spans="2:12" ht="15.6">
      <c r="B164" s="27">
        <v>43020</v>
      </c>
      <c r="C164" s="24" t="s">
        <v>9</v>
      </c>
      <c r="D164" s="22" t="s">
        <v>23</v>
      </c>
      <c r="E164" s="22" t="s">
        <v>11</v>
      </c>
      <c r="F164" s="25" t="s">
        <v>18</v>
      </c>
      <c r="G164" s="19">
        <v>5</v>
      </c>
      <c r="H164" s="29">
        <v>55</v>
      </c>
      <c r="I164" s="59"/>
      <c r="J164" s="59" t="str">
        <f>IF(TableSales[[#This Row],[Sales]]&gt;=70, TableSales[[#This Row],[Sales]]*0.05, "No commission")</f>
        <v>No commission</v>
      </c>
      <c r="K164" s="60" t="str">
        <f>LEFT($J$7,6)&amp;TableSales[[#This Row],[Salesperson]]&amp;RIGHT($K$7,10)</f>
        <v>sales.MONIQUE@email.com</v>
      </c>
      <c r="L164" s="60"/>
    </row>
    <row r="165" spans="2:12" ht="15.6">
      <c r="B165" s="28">
        <v>43022</v>
      </c>
      <c r="C165" s="23" t="s">
        <v>17</v>
      </c>
      <c r="D165" s="23" t="s">
        <v>12</v>
      </c>
      <c r="E165" s="23" t="s">
        <v>19</v>
      </c>
      <c r="F165" s="23" t="s">
        <v>18</v>
      </c>
      <c r="G165" s="20">
        <v>4</v>
      </c>
      <c r="H165" s="30">
        <v>52</v>
      </c>
      <c r="I165" s="62"/>
      <c r="J165" s="59" t="str">
        <f>IF(TableSales[[#This Row],[Sales]]&gt;=70, TableSales[[#This Row],[Sales]]*0.05, "No commission")</f>
        <v>No commission</v>
      </c>
      <c r="K165" s="60" t="str">
        <f>LEFT($J$7,6)&amp;TableSales[[#This Row],[Salesperson]]&amp;RIGHT($K$7,10)</f>
        <v>sales.LAUREN@email.com</v>
      </c>
      <c r="L165" s="60"/>
    </row>
    <row r="166" spans="2:12" ht="15.6">
      <c r="B166" s="27">
        <v>43025</v>
      </c>
      <c r="C166" s="22" t="s">
        <v>13</v>
      </c>
      <c r="D166" s="22" t="s">
        <v>12</v>
      </c>
      <c r="E166" s="22" t="s">
        <v>11</v>
      </c>
      <c r="F166" s="22" t="s">
        <v>14</v>
      </c>
      <c r="G166" s="19">
        <v>6</v>
      </c>
      <c r="H166" s="29">
        <v>66</v>
      </c>
      <c r="I166" s="59"/>
      <c r="J166" s="59" t="str">
        <f>IF(TableSales[[#This Row],[Sales]]&gt;=70, TableSales[[#This Row],[Sales]]*0.05, "No commission")</f>
        <v>No commission</v>
      </c>
      <c r="K166" s="60" t="str">
        <f>LEFT($J$7,6)&amp;TableSales[[#This Row],[Salesperson]]&amp;RIGHT($K$7,10)</f>
        <v>sales.PETE@email.com</v>
      </c>
      <c r="L166" s="60"/>
    </row>
    <row r="167" spans="2:12" ht="15.6">
      <c r="B167" s="28">
        <v>43026</v>
      </c>
      <c r="C167" s="23" t="s">
        <v>24</v>
      </c>
      <c r="D167" s="23" t="s">
        <v>16</v>
      </c>
      <c r="E167" s="23" t="s">
        <v>19</v>
      </c>
      <c r="F167" s="23" t="s">
        <v>10</v>
      </c>
      <c r="G167" s="20">
        <v>3</v>
      </c>
      <c r="H167" s="30">
        <v>39</v>
      </c>
      <c r="I167" s="62"/>
      <c r="J167" s="59" t="str">
        <f>IF(TableSales[[#This Row],[Sales]]&gt;=70, TableSales[[#This Row],[Sales]]*0.05, "No commission")</f>
        <v>No commission</v>
      </c>
      <c r="K167" s="60" t="str">
        <f>LEFT($J$7,6)&amp;TableSales[[#This Row],[Salesperson]]&amp;RIGHT($K$7,10)</f>
        <v>sales.EDGAR@email.com</v>
      </c>
      <c r="L167" s="60"/>
    </row>
    <row r="168" spans="2:12" ht="15.6">
      <c r="B168" s="27">
        <v>43030</v>
      </c>
      <c r="C168" s="24" t="s">
        <v>9</v>
      </c>
      <c r="D168" s="22" t="s">
        <v>16</v>
      </c>
      <c r="E168" s="22" t="s">
        <v>15</v>
      </c>
      <c r="F168" s="25" t="s">
        <v>10</v>
      </c>
      <c r="G168" s="19">
        <v>6</v>
      </c>
      <c r="H168" s="29">
        <v>72</v>
      </c>
      <c r="I168" s="59"/>
      <c r="J168" s="59">
        <f>IF(TableSales[[#This Row],[Sales]]&gt;=70, TableSales[[#This Row],[Sales]]*0.05, "No commission")</f>
        <v>3.6</v>
      </c>
      <c r="K168" s="60" t="str">
        <f>LEFT($J$7,6)&amp;TableSales[[#This Row],[Salesperson]]&amp;RIGHT($K$7,10)</f>
        <v>sales.MONIQUE@email.com</v>
      </c>
      <c r="L168" s="60"/>
    </row>
    <row r="169" spans="2:12" ht="15.6">
      <c r="B169" s="28">
        <v>43034</v>
      </c>
      <c r="C169" s="23" t="s">
        <v>13</v>
      </c>
      <c r="D169" s="23" t="s">
        <v>12</v>
      </c>
      <c r="E169" s="23" t="s">
        <v>19</v>
      </c>
      <c r="F169" s="23" t="s">
        <v>14</v>
      </c>
      <c r="G169" s="20">
        <v>1</v>
      </c>
      <c r="H169" s="30">
        <v>13</v>
      </c>
      <c r="I169" s="62"/>
      <c r="J169" s="59" t="str">
        <f>IF(TableSales[[#This Row],[Sales]]&gt;=70, TableSales[[#This Row],[Sales]]*0.05, "No commission")</f>
        <v>No commission</v>
      </c>
      <c r="K169" s="60" t="str">
        <f>LEFT($J$7,6)&amp;TableSales[[#This Row],[Salesperson]]&amp;RIGHT($K$7,10)</f>
        <v>sales.PETE@email.com</v>
      </c>
      <c r="L169" s="60"/>
    </row>
    <row r="170" spans="2:12" ht="15.6">
      <c r="B170" s="27">
        <v>43035</v>
      </c>
      <c r="C170" s="22" t="s">
        <v>13</v>
      </c>
      <c r="D170" s="22" t="s">
        <v>16</v>
      </c>
      <c r="E170" s="22" t="s">
        <v>11</v>
      </c>
      <c r="F170" s="22" t="s">
        <v>18</v>
      </c>
      <c r="G170" s="19">
        <v>1</v>
      </c>
      <c r="H170" s="29">
        <v>11</v>
      </c>
      <c r="I170" s="59"/>
      <c r="J170" s="59" t="str">
        <f>IF(TableSales[[#This Row],[Sales]]&gt;=70, TableSales[[#This Row],[Sales]]*0.05, "No commission")</f>
        <v>No commission</v>
      </c>
      <c r="K170" s="60" t="str">
        <f>LEFT($J$7,6)&amp;TableSales[[#This Row],[Salesperson]]&amp;RIGHT($K$7,10)</f>
        <v>sales.PETE@email.com</v>
      </c>
      <c r="L170" s="60"/>
    </row>
    <row r="171" spans="2:12" ht="15.6">
      <c r="B171" s="28">
        <v>43036</v>
      </c>
      <c r="C171" s="21" t="s">
        <v>9</v>
      </c>
      <c r="D171" s="23" t="s">
        <v>12</v>
      </c>
      <c r="E171" s="23" t="s">
        <v>11</v>
      </c>
      <c r="F171" s="26" t="s">
        <v>10</v>
      </c>
      <c r="G171" s="20">
        <v>7</v>
      </c>
      <c r="H171" s="30">
        <v>77</v>
      </c>
      <c r="I171" s="62"/>
      <c r="J171" s="59">
        <f>IF(TableSales[[#This Row],[Sales]]&gt;=70, TableSales[[#This Row],[Sales]]*0.05, "No commission")</f>
        <v>3.85</v>
      </c>
      <c r="K171" s="60" t="str">
        <f>LEFT($J$7,6)&amp;TableSales[[#This Row],[Salesperson]]&amp;RIGHT($K$7,10)</f>
        <v>sales.MONIQUE@email.com</v>
      </c>
      <c r="L171" s="60"/>
    </row>
    <row r="172" spans="2:12" ht="15.6">
      <c r="B172" s="27">
        <v>43038</v>
      </c>
      <c r="C172" s="22" t="s">
        <v>17</v>
      </c>
      <c r="D172" s="22" t="s">
        <v>12</v>
      </c>
      <c r="E172" s="22" t="s">
        <v>15</v>
      </c>
      <c r="F172" s="22" t="s">
        <v>14</v>
      </c>
      <c r="G172" s="19">
        <v>5</v>
      </c>
      <c r="H172" s="29">
        <v>60</v>
      </c>
      <c r="I172" s="59"/>
      <c r="J172" s="59" t="str">
        <f>IF(TableSales[[#This Row],[Sales]]&gt;=70, TableSales[[#This Row],[Sales]]*0.05, "No commission")</f>
        <v>No commission</v>
      </c>
      <c r="K172" s="60" t="str">
        <f>LEFT($J$7,6)&amp;TableSales[[#This Row],[Salesperson]]&amp;RIGHT($K$7,10)</f>
        <v>sales.LAUREN@email.com</v>
      </c>
      <c r="L172" s="60"/>
    </row>
    <row r="173" spans="2:12" ht="15.6">
      <c r="B173" s="28">
        <v>43039</v>
      </c>
      <c r="C173" s="23" t="s">
        <v>22</v>
      </c>
      <c r="D173" s="23" t="s">
        <v>16</v>
      </c>
      <c r="E173" s="23" t="s">
        <v>11</v>
      </c>
      <c r="F173" s="23" t="s">
        <v>18</v>
      </c>
      <c r="G173" s="20">
        <v>4</v>
      </c>
      <c r="H173" s="30">
        <v>44</v>
      </c>
      <c r="I173" s="62"/>
      <c r="J173" s="59" t="str">
        <f>IF(TableSales[[#This Row],[Sales]]&gt;=70, TableSales[[#This Row],[Sales]]*0.05, "No commission")</f>
        <v>No commission</v>
      </c>
      <c r="K173" s="60" t="str">
        <f>LEFT($J$7,6)&amp;TableSales[[#This Row],[Salesperson]]&amp;RIGHT($K$7,10)</f>
        <v>sales.MARIO@email.com</v>
      </c>
      <c r="L173" s="60"/>
    </row>
    <row r="174" spans="2:12" ht="15.6">
      <c r="B174" s="27">
        <v>43042</v>
      </c>
      <c r="C174" s="22" t="s">
        <v>24</v>
      </c>
      <c r="D174" s="22" t="s">
        <v>23</v>
      </c>
      <c r="E174" s="22" t="s">
        <v>19</v>
      </c>
      <c r="F174" s="22" t="s">
        <v>14</v>
      </c>
      <c r="G174" s="19">
        <v>6</v>
      </c>
      <c r="H174" s="29">
        <v>78</v>
      </c>
      <c r="I174" s="59"/>
      <c r="J174" s="59">
        <f>IF(TableSales[[#This Row],[Sales]]&gt;=70, TableSales[[#This Row],[Sales]]*0.05, "No commission")</f>
        <v>3.9000000000000004</v>
      </c>
      <c r="K174" s="60" t="str">
        <f>LEFT($J$7,6)&amp;TableSales[[#This Row],[Salesperson]]&amp;RIGHT($K$7,10)</f>
        <v>sales.EDGAR@email.com</v>
      </c>
      <c r="L174" s="60"/>
    </row>
    <row r="175" spans="2:12" ht="15.6">
      <c r="B175" s="28">
        <v>43046</v>
      </c>
      <c r="C175" s="23" t="s">
        <v>22</v>
      </c>
      <c r="D175" s="23" t="s">
        <v>16</v>
      </c>
      <c r="E175" s="23" t="s">
        <v>19</v>
      </c>
      <c r="F175" s="23" t="s">
        <v>18</v>
      </c>
      <c r="G175" s="20">
        <v>1</v>
      </c>
      <c r="H175" s="30">
        <v>13</v>
      </c>
      <c r="I175" s="62"/>
      <c r="J175" s="59" t="str">
        <f>IF(TableSales[[#This Row],[Sales]]&gt;=70, TableSales[[#This Row],[Sales]]*0.05, "No commission")</f>
        <v>No commission</v>
      </c>
      <c r="K175" s="60" t="str">
        <f>LEFT($J$7,6)&amp;TableSales[[#This Row],[Salesperson]]&amp;RIGHT($K$7,10)</f>
        <v>sales.MARIO@email.com</v>
      </c>
      <c r="L175" s="60"/>
    </row>
    <row r="176" spans="2:12" ht="15.6">
      <c r="B176" s="27">
        <v>43050</v>
      </c>
      <c r="C176" s="22" t="s">
        <v>13</v>
      </c>
      <c r="D176" s="22" t="s">
        <v>21</v>
      </c>
      <c r="E176" s="22" t="s">
        <v>19</v>
      </c>
      <c r="F176" s="22" t="s">
        <v>10</v>
      </c>
      <c r="G176" s="19">
        <v>7</v>
      </c>
      <c r="H176" s="29">
        <v>91</v>
      </c>
      <c r="I176" s="59"/>
      <c r="J176" s="59">
        <f>IF(TableSales[[#This Row],[Sales]]&gt;=70, TableSales[[#This Row],[Sales]]*0.05, "No commission")</f>
        <v>4.55</v>
      </c>
      <c r="K176" s="60" t="str">
        <f>LEFT($J$7,6)&amp;TableSales[[#This Row],[Salesperson]]&amp;RIGHT($K$7,10)</f>
        <v>sales.PETE@email.com</v>
      </c>
      <c r="L176" s="60"/>
    </row>
    <row r="177" spans="2:12" ht="15.6">
      <c r="B177" s="28">
        <v>43052</v>
      </c>
      <c r="C177" s="23" t="s">
        <v>13</v>
      </c>
      <c r="D177" s="23" t="s">
        <v>21</v>
      </c>
      <c r="E177" s="23" t="s">
        <v>15</v>
      </c>
      <c r="F177" s="23" t="s">
        <v>10</v>
      </c>
      <c r="G177" s="20">
        <v>3</v>
      </c>
      <c r="H177" s="30">
        <v>36</v>
      </c>
      <c r="I177" s="62"/>
      <c r="J177" s="59" t="str">
        <f>IF(TableSales[[#This Row],[Sales]]&gt;=70, TableSales[[#This Row],[Sales]]*0.05, "No commission")</f>
        <v>No commission</v>
      </c>
      <c r="K177" s="60" t="str">
        <f>LEFT($J$7,6)&amp;TableSales[[#This Row],[Salesperson]]&amp;RIGHT($K$7,10)</f>
        <v>sales.PETE@email.com</v>
      </c>
      <c r="L177" s="60"/>
    </row>
    <row r="178" spans="2:12" ht="15.6">
      <c r="B178" s="27">
        <v>43056</v>
      </c>
      <c r="C178" s="22" t="s">
        <v>17</v>
      </c>
      <c r="D178" s="22" t="s">
        <v>12</v>
      </c>
      <c r="E178" s="22" t="s">
        <v>15</v>
      </c>
      <c r="F178" s="22" t="s">
        <v>14</v>
      </c>
      <c r="G178" s="19">
        <v>2</v>
      </c>
      <c r="H178" s="29">
        <v>24</v>
      </c>
      <c r="I178" s="59"/>
      <c r="J178" s="59" t="str">
        <f>IF(TableSales[[#This Row],[Sales]]&gt;=70, TableSales[[#This Row],[Sales]]*0.05, "No commission")</f>
        <v>No commission</v>
      </c>
      <c r="K178" s="60" t="str">
        <f>LEFT($J$7,6)&amp;TableSales[[#This Row],[Salesperson]]&amp;RIGHT($K$7,10)</f>
        <v>sales.LAUREN@email.com</v>
      </c>
      <c r="L178" s="60"/>
    </row>
    <row r="179" spans="2:12" ht="15.6">
      <c r="B179" s="28">
        <v>43058</v>
      </c>
      <c r="C179" s="23" t="s">
        <v>13</v>
      </c>
      <c r="D179" s="23" t="s">
        <v>12</v>
      </c>
      <c r="E179" s="23" t="s">
        <v>19</v>
      </c>
      <c r="F179" s="23" t="s">
        <v>18</v>
      </c>
      <c r="G179" s="20">
        <v>8</v>
      </c>
      <c r="H179" s="30">
        <v>104</v>
      </c>
      <c r="I179" s="62"/>
      <c r="J179" s="59">
        <f>IF(TableSales[[#This Row],[Sales]]&gt;=70, TableSales[[#This Row],[Sales]]*0.05, "No commission")</f>
        <v>5.2</v>
      </c>
      <c r="K179" s="60" t="str">
        <f>LEFT($J$7,6)&amp;TableSales[[#This Row],[Salesperson]]&amp;RIGHT($K$7,10)</f>
        <v>sales.PETE@email.com</v>
      </c>
      <c r="L179" s="60"/>
    </row>
    <row r="180" spans="2:12" ht="15.6">
      <c r="B180" s="27">
        <v>43062</v>
      </c>
      <c r="C180" s="22" t="s">
        <v>20</v>
      </c>
      <c r="D180" s="22" t="s">
        <v>21</v>
      </c>
      <c r="E180" s="22" t="s">
        <v>15</v>
      </c>
      <c r="F180" s="22" t="s">
        <v>18</v>
      </c>
      <c r="G180" s="19">
        <v>6</v>
      </c>
      <c r="H180" s="29">
        <v>72</v>
      </c>
      <c r="I180" s="59"/>
      <c r="J180" s="59">
        <f>IF(TableSales[[#This Row],[Sales]]&gt;=70, TableSales[[#This Row],[Sales]]*0.05, "No commission")</f>
        <v>3.6</v>
      </c>
      <c r="K180" s="60" t="str">
        <f>LEFT($J$7,6)&amp;TableSales[[#This Row],[Salesperson]]&amp;RIGHT($K$7,10)</f>
        <v>sales.HARRY@email.com</v>
      </c>
      <c r="L180" s="60"/>
    </row>
    <row r="181" spans="2:12" ht="15.6">
      <c r="B181" s="28">
        <v>43066</v>
      </c>
      <c r="C181" s="23" t="s">
        <v>24</v>
      </c>
      <c r="D181" s="23" t="s">
        <v>12</v>
      </c>
      <c r="E181" s="23" t="s">
        <v>11</v>
      </c>
      <c r="F181" s="23" t="s">
        <v>18</v>
      </c>
      <c r="G181" s="20">
        <v>5</v>
      </c>
      <c r="H181" s="30">
        <v>55</v>
      </c>
      <c r="I181" s="62"/>
      <c r="J181" s="59" t="str">
        <f>IF(TableSales[[#This Row],[Sales]]&gt;=70, TableSales[[#This Row],[Sales]]*0.05, "No commission")</f>
        <v>No commission</v>
      </c>
      <c r="K181" s="60" t="str">
        <f>LEFT($J$7,6)&amp;TableSales[[#This Row],[Salesperson]]&amp;RIGHT($K$7,10)</f>
        <v>sales.EDGAR@email.com</v>
      </c>
      <c r="L181" s="60"/>
    </row>
    <row r="182" spans="2:12" ht="15.6">
      <c r="B182" s="27">
        <v>43067</v>
      </c>
      <c r="C182" s="22" t="s">
        <v>17</v>
      </c>
      <c r="D182" s="22" t="s">
        <v>12</v>
      </c>
      <c r="E182" s="22" t="s">
        <v>15</v>
      </c>
      <c r="F182" s="22" t="s">
        <v>18</v>
      </c>
      <c r="G182" s="19">
        <v>4</v>
      </c>
      <c r="H182" s="29">
        <v>48</v>
      </c>
      <c r="I182" s="59"/>
      <c r="J182" s="59" t="str">
        <f>IF(TableSales[[#This Row],[Sales]]&gt;=70, TableSales[[#This Row],[Sales]]*0.05, "No commission")</f>
        <v>No commission</v>
      </c>
      <c r="K182" s="60" t="str">
        <f>LEFT($J$7,6)&amp;TableSales[[#This Row],[Salesperson]]&amp;RIGHT($K$7,10)</f>
        <v>sales.LAUREN@email.com</v>
      </c>
      <c r="L182" s="60"/>
    </row>
    <row r="183" spans="2:12" ht="15.6">
      <c r="B183" s="28">
        <v>43069</v>
      </c>
      <c r="C183" s="21" t="s">
        <v>9</v>
      </c>
      <c r="D183" s="23" t="s">
        <v>12</v>
      </c>
      <c r="E183" s="23" t="s">
        <v>11</v>
      </c>
      <c r="F183" s="26" t="s">
        <v>14</v>
      </c>
      <c r="G183" s="20">
        <v>8</v>
      </c>
      <c r="H183" s="30">
        <v>88</v>
      </c>
      <c r="I183" s="62"/>
      <c r="J183" s="59">
        <f>IF(TableSales[[#This Row],[Sales]]&gt;=70, TableSales[[#This Row],[Sales]]*0.05, "No commission")</f>
        <v>4.4000000000000004</v>
      </c>
      <c r="K183" s="60" t="str">
        <f>LEFT($J$7,6)&amp;TableSales[[#This Row],[Salesperson]]&amp;RIGHT($K$7,10)</f>
        <v>sales.MONIQUE@email.com</v>
      </c>
      <c r="L183" s="60"/>
    </row>
    <row r="184" spans="2:12" ht="15.6">
      <c r="B184" s="27">
        <v>43070</v>
      </c>
      <c r="C184" s="24" t="s">
        <v>9</v>
      </c>
      <c r="D184" s="22" t="s">
        <v>23</v>
      </c>
      <c r="E184" s="22" t="s">
        <v>15</v>
      </c>
      <c r="F184" s="25" t="s">
        <v>10</v>
      </c>
      <c r="G184" s="19">
        <v>8</v>
      </c>
      <c r="H184" s="29">
        <v>96</v>
      </c>
      <c r="I184" s="59"/>
      <c r="J184" s="59">
        <f>IF(TableSales[[#This Row],[Sales]]&gt;=70, TableSales[[#This Row],[Sales]]*0.05, "No commission")</f>
        <v>4.8000000000000007</v>
      </c>
      <c r="K184" s="60" t="str">
        <f>LEFT($J$7,6)&amp;TableSales[[#This Row],[Salesperson]]&amp;RIGHT($K$7,10)</f>
        <v>sales.MONIQUE@email.com</v>
      </c>
      <c r="L184" s="60"/>
    </row>
    <row r="185" spans="2:12" ht="15.6">
      <c r="B185" s="28">
        <v>43072</v>
      </c>
      <c r="C185" s="21" t="s">
        <v>9</v>
      </c>
      <c r="D185" s="23" t="s">
        <v>12</v>
      </c>
      <c r="E185" s="23" t="s">
        <v>19</v>
      </c>
      <c r="F185" s="26" t="s">
        <v>14</v>
      </c>
      <c r="G185" s="20">
        <v>5</v>
      </c>
      <c r="H185" s="30">
        <v>65</v>
      </c>
      <c r="I185" s="62"/>
      <c r="J185" s="59" t="str">
        <f>IF(TableSales[[#This Row],[Sales]]&gt;=70, TableSales[[#This Row],[Sales]]*0.05, "No commission")</f>
        <v>No commission</v>
      </c>
      <c r="K185" s="60" t="str">
        <f>LEFT($J$7,6)&amp;TableSales[[#This Row],[Salesperson]]&amp;RIGHT($K$7,10)</f>
        <v>sales.MONIQUE@email.com</v>
      </c>
      <c r="L185" s="60"/>
    </row>
    <row r="186" spans="2:12" ht="15.6">
      <c r="B186" s="27">
        <v>43074</v>
      </c>
      <c r="C186" s="22" t="s">
        <v>13</v>
      </c>
      <c r="D186" s="22" t="s">
        <v>21</v>
      </c>
      <c r="E186" s="22" t="s">
        <v>15</v>
      </c>
      <c r="F186" s="22" t="s">
        <v>10</v>
      </c>
      <c r="G186" s="19">
        <v>3</v>
      </c>
      <c r="H186" s="29">
        <v>36</v>
      </c>
      <c r="I186" s="59"/>
      <c r="J186" s="59" t="str">
        <f>IF(TableSales[[#This Row],[Sales]]&gt;=70, TableSales[[#This Row],[Sales]]*0.05, "No commission")</f>
        <v>No commission</v>
      </c>
      <c r="K186" s="60" t="str">
        <f>LEFT($J$7,6)&amp;TableSales[[#This Row],[Salesperson]]&amp;RIGHT($K$7,10)</f>
        <v>sales.PETE@email.com</v>
      </c>
      <c r="L186" s="60"/>
    </row>
    <row r="187" spans="2:12" ht="15.6">
      <c r="B187" s="28">
        <v>43075</v>
      </c>
      <c r="C187" s="23" t="s">
        <v>24</v>
      </c>
      <c r="D187" s="23" t="s">
        <v>12</v>
      </c>
      <c r="E187" s="23" t="s">
        <v>15</v>
      </c>
      <c r="F187" s="23" t="s">
        <v>10</v>
      </c>
      <c r="G187" s="20">
        <v>4</v>
      </c>
      <c r="H187" s="30">
        <v>48</v>
      </c>
      <c r="I187" s="62"/>
      <c r="J187" s="59" t="str">
        <f>IF(TableSales[[#This Row],[Sales]]&gt;=70, TableSales[[#This Row],[Sales]]*0.05, "No commission")</f>
        <v>No commission</v>
      </c>
      <c r="K187" s="60" t="str">
        <f>LEFT($J$7,6)&amp;TableSales[[#This Row],[Salesperson]]&amp;RIGHT($K$7,10)</f>
        <v>sales.EDGAR@email.com</v>
      </c>
      <c r="L187" s="60"/>
    </row>
    <row r="188" spans="2:12" ht="15.6">
      <c r="B188" s="27">
        <v>43077</v>
      </c>
      <c r="C188" s="22" t="s">
        <v>17</v>
      </c>
      <c r="D188" s="22" t="s">
        <v>12</v>
      </c>
      <c r="E188" s="22" t="s">
        <v>15</v>
      </c>
      <c r="F188" s="22" t="s">
        <v>10</v>
      </c>
      <c r="G188" s="19">
        <v>5</v>
      </c>
      <c r="H188" s="29">
        <v>60</v>
      </c>
      <c r="I188" s="59"/>
      <c r="J188" s="59" t="str">
        <f>IF(TableSales[[#This Row],[Sales]]&gt;=70, TableSales[[#This Row],[Sales]]*0.05, "No commission")</f>
        <v>No commission</v>
      </c>
      <c r="K188" s="60" t="str">
        <f>LEFT($J$7,6)&amp;TableSales[[#This Row],[Salesperson]]&amp;RIGHT($K$7,10)</f>
        <v>sales.LAUREN@email.com</v>
      </c>
      <c r="L188" s="60"/>
    </row>
    <row r="189" spans="2:12" ht="15.6">
      <c r="B189" s="28">
        <v>43079</v>
      </c>
      <c r="C189" s="23" t="s">
        <v>22</v>
      </c>
      <c r="D189" s="23" t="s">
        <v>12</v>
      </c>
      <c r="E189" s="23" t="s">
        <v>19</v>
      </c>
      <c r="F189" s="23" t="s">
        <v>18</v>
      </c>
      <c r="G189" s="20">
        <v>1</v>
      </c>
      <c r="H189" s="30">
        <v>13</v>
      </c>
      <c r="I189" s="62"/>
      <c r="J189" s="59" t="str">
        <f>IF(TableSales[[#This Row],[Sales]]&gt;=70, TableSales[[#This Row],[Sales]]*0.05, "No commission")</f>
        <v>No commission</v>
      </c>
      <c r="K189" s="60" t="str">
        <f>LEFT($J$7,6)&amp;TableSales[[#This Row],[Salesperson]]&amp;RIGHT($K$7,10)</f>
        <v>sales.MARIO@email.com</v>
      </c>
      <c r="L189" s="60"/>
    </row>
    <row r="190" spans="2:12" ht="15.6">
      <c r="B190" s="27">
        <v>43081</v>
      </c>
      <c r="C190" s="22" t="s">
        <v>13</v>
      </c>
      <c r="D190" s="22" t="s">
        <v>21</v>
      </c>
      <c r="E190" s="22" t="s">
        <v>11</v>
      </c>
      <c r="F190" s="22" t="s">
        <v>10</v>
      </c>
      <c r="G190" s="19">
        <v>4</v>
      </c>
      <c r="H190" s="29">
        <v>44</v>
      </c>
      <c r="I190" s="59"/>
      <c r="J190" s="59" t="str">
        <f>IF(TableSales[[#This Row],[Sales]]&gt;=70, TableSales[[#This Row],[Sales]]*0.05, "No commission")</f>
        <v>No commission</v>
      </c>
      <c r="K190" s="60" t="str">
        <f>LEFT($J$7,6)&amp;TableSales[[#This Row],[Salesperson]]&amp;RIGHT($K$7,10)</f>
        <v>sales.PETE@email.com</v>
      </c>
      <c r="L190" s="60"/>
    </row>
    <row r="191" spans="2:12" ht="15.6">
      <c r="B191" s="28">
        <v>43082</v>
      </c>
      <c r="C191" s="21" t="s">
        <v>9</v>
      </c>
      <c r="D191" s="23" t="s">
        <v>21</v>
      </c>
      <c r="E191" s="23" t="s">
        <v>19</v>
      </c>
      <c r="F191" s="26" t="s">
        <v>14</v>
      </c>
      <c r="G191" s="20">
        <v>5</v>
      </c>
      <c r="H191" s="30">
        <v>65</v>
      </c>
      <c r="I191" s="62"/>
      <c r="J191" s="59" t="str">
        <f>IF(TableSales[[#This Row],[Sales]]&gt;=70, TableSales[[#This Row],[Sales]]*0.05, "No commission")</f>
        <v>No commission</v>
      </c>
      <c r="K191" s="60" t="str">
        <f>LEFT($J$7,6)&amp;TableSales[[#This Row],[Salesperson]]&amp;RIGHT($K$7,10)</f>
        <v>sales.MONIQUE@email.com</v>
      </c>
      <c r="L191" s="60"/>
    </row>
    <row r="192" spans="2:12" ht="15.6">
      <c r="B192" s="27">
        <v>43083</v>
      </c>
      <c r="C192" s="22" t="s">
        <v>24</v>
      </c>
      <c r="D192" s="22" t="s">
        <v>21</v>
      </c>
      <c r="E192" s="22" t="s">
        <v>15</v>
      </c>
      <c r="F192" s="22" t="s">
        <v>10</v>
      </c>
      <c r="G192" s="19">
        <v>5</v>
      </c>
      <c r="H192" s="29">
        <v>60</v>
      </c>
      <c r="I192" s="59"/>
      <c r="J192" s="59" t="str">
        <f>IF(TableSales[[#This Row],[Sales]]&gt;=70, TableSales[[#This Row],[Sales]]*0.05, "No commission")</f>
        <v>No commission</v>
      </c>
      <c r="K192" s="60" t="str">
        <f>LEFT($J$7,6)&amp;TableSales[[#This Row],[Salesperson]]&amp;RIGHT($K$7,10)</f>
        <v>sales.EDGAR@email.com</v>
      </c>
      <c r="L192" s="60"/>
    </row>
    <row r="193" spans="2:12" ht="15.6">
      <c r="B193" s="28">
        <v>43085</v>
      </c>
      <c r="C193" s="23" t="s">
        <v>13</v>
      </c>
      <c r="D193" s="23" t="s">
        <v>12</v>
      </c>
      <c r="E193" s="23" t="s">
        <v>15</v>
      </c>
      <c r="F193" s="23" t="s">
        <v>10</v>
      </c>
      <c r="G193" s="20">
        <v>1</v>
      </c>
      <c r="H193" s="30">
        <v>12</v>
      </c>
      <c r="I193" s="62"/>
      <c r="J193" s="59" t="str">
        <f>IF(TableSales[[#This Row],[Sales]]&gt;=70, TableSales[[#This Row],[Sales]]*0.05, "No commission")</f>
        <v>No commission</v>
      </c>
      <c r="K193" s="60" t="str">
        <f>LEFT($J$7,6)&amp;TableSales[[#This Row],[Salesperson]]&amp;RIGHT($K$7,10)</f>
        <v>sales.PETE@email.com</v>
      </c>
      <c r="L193" s="60"/>
    </row>
    <row r="194" spans="2:12" ht="15.6">
      <c r="B194" s="27">
        <v>43086</v>
      </c>
      <c r="C194" s="22" t="s">
        <v>22</v>
      </c>
      <c r="D194" s="22" t="s">
        <v>21</v>
      </c>
      <c r="E194" s="22" t="s">
        <v>15</v>
      </c>
      <c r="F194" s="22" t="s">
        <v>18</v>
      </c>
      <c r="G194" s="19">
        <v>6</v>
      </c>
      <c r="H194" s="29">
        <v>72</v>
      </c>
      <c r="I194" s="59"/>
      <c r="J194" s="59">
        <f>IF(TableSales[[#This Row],[Sales]]&gt;=70, TableSales[[#This Row],[Sales]]*0.05, "No commission")</f>
        <v>3.6</v>
      </c>
      <c r="K194" s="60" t="str">
        <f>LEFT($J$7,6)&amp;TableSales[[#This Row],[Salesperson]]&amp;RIGHT($K$7,10)</f>
        <v>sales.MARIO@email.com</v>
      </c>
      <c r="L194" s="60"/>
    </row>
    <row r="195" spans="2:12" ht="15.6">
      <c r="B195" s="28">
        <v>43088</v>
      </c>
      <c r="C195" s="21" t="s">
        <v>9</v>
      </c>
      <c r="D195" s="23" t="s">
        <v>21</v>
      </c>
      <c r="E195" s="23" t="s">
        <v>19</v>
      </c>
      <c r="F195" s="26" t="s">
        <v>10</v>
      </c>
      <c r="G195" s="20">
        <v>2</v>
      </c>
      <c r="H195" s="30">
        <v>26</v>
      </c>
      <c r="I195" s="62"/>
      <c r="J195" s="59" t="str">
        <f>IF(TableSales[[#This Row],[Sales]]&gt;=70, TableSales[[#This Row],[Sales]]*0.05, "No commission")</f>
        <v>No commission</v>
      </c>
      <c r="K195" s="60" t="str">
        <f>LEFT($J$7,6)&amp;TableSales[[#This Row],[Salesperson]]&amp;RIGHT($K$7,10)</f>
        <v>sales.MONIQUE@email.com</v>
      </c>
      <c r="L195" s="60"/>
    </row>
    <row r="196" spans="2:12" ht="15.6">
      <c r="B196" s="27">
        <v>43092</v>
      </c>
      <c r="C196" s="22" t="s">
        <v>17</v>
      </c>
      <c r="D196" s="22" t="s">
        <v>21</v>
      </c>
      <c r="E196" s="22" t="s">
        <v>15</v>
      </c>
      <c r="F196" s="22" t="s">
        <v>18</v>
      </c>
      <c r="G196" s="19">
        <v>1</v>
      </c>
      <c r="H196" s="29">
        <v>12</v>
      </c>
      <c r="I196" s="59"/>
      <c r="J196" s="59" t="str">
        <f>IF(TableSales[[#This Row],[Sales]]&gt;=70, TableSales[[#This Row],[Sales]]*0.05, "No commission")</f>
        <v>No commission</v>
      </c>
      <c r="K196" s="60" t="str">
        <f>LEFT($J$7,6)&amp;TableSales[[#This Row],[Salesperson]]&amp;RIGHT($K$7,10)</f>
        <v>sales.LAUREN@email.com</v>
      </c>
      <c r="L196" s="60"/>
    </row>
    <row r="197" spans="2:12" ht="15.6">
      <c r="B197" s="28">
        <v>43096</v>
      </c>
      <c r="C197" s="23" t="s">
        <v>22</v>
      </c>
      <c r="D197" s="23" t="s">
        <v>23</v>
      </c>
      <c r="E197" s="23" t="s">
        <v>15</v>
      </c>
      <c r="F197" s="23" t="s">
        <v>14</v>
      </c>
      <c r="G197" s="20">
        <v>1</v>
      </c>
      <c r="H197" s="30">
        <v>12</v>
      </c>
      <c r="I197" s="62"/>
      <c r="J197" s="59" t="str">
        <f>IF(TableSales[[#This Row],[Sales]]&gt;=70, TableSales[[#This Row],[Sales]]*0.05, "No commission")</f>
        <v>No commission</v>
      </c>
      <c r="K197" s="60" t="str">
        <f>LEFT($J$7,6)&amp;TableSales[[#This Row],[Salesperson]]&amp;RIGHT($K$7,10)</f>
        <v>sales.MARIO@email.com</v>
      </c>
      <c r="L197" s="60"/>
    </row>
    <row r="198" spans="2:12" ht="15.6">
      <c r="B198" s="27">
        <v>43099</v>
      </c>
      <c r="C198" s="24" t="s">
        <v>9</v>
      </c>
      <c r="D198" s="22" t="s">
        <v>16</v>
      </c>
      <c r="E198" s="22" t="s">
        <v>19</v>
      </c>
      <c r="F198" s="25" t="s">
        <v>10</v>
      </c>
      <c r="G198" s="19">
        <v>8</v>
      </c>
      <c r="H198" s="29">
        <v>104</v>
      </c>
      <c r="I198" s="59"/>
      <c r="J198" s="59">
        <f>IF(TableSales[[#This Row],[Sales]]&gt;=70, TableSales[[#This Row],[Sales]]*0.05, "No commission")</f>
        <v>5.2</v>
      </c>
      <c r="K198" s="60" t="str">
        <f>LEFT($J$7,6)&amp;TableSales[[#This Row],[Salesperson]]&amp;RIGHT($K$7,10)</f>
        <v>sales.MONIQUE@email.com</v>
      </c>
      <c r="L198" s="60"/>
    </row>
    <row r="199" spans="2:12" ht="15.6">
      <c r="B199" s="28">
        <v>43102</v>
      </c>
      <c r="C199" s="23" t="s">
        <v>13</v>
      </c>
      <c r="D199" s="23" t="s">
        <v>21</v>
      </c>
      <c r="E199" s="23" t="s">
        <v>11</v>
      </c>
      <c r="F199" s="23" t="s">
        <v>10</v>
      </c>
      <c r="G199" s="20">
        <v>4</v>
      </c>
      <c r="H199" s="30">
        <v>44</v>
      </c>
      <c r="I199" s="62"/>
      <c r="J199" s="59" t="str">
        <f>IF(TableSales[[#This Row],[Sales]]&gt;=70, TableSales[[#This Row],[Sales]]*0.05, "No commission")</f>
        <v>No commission</v>
      </c>
      <c r="K199" s="60" t="str">
        <f>LEFT($J$7,6)&amp;TableSales[[#This Row],[Salesperson]]&amp;RIGHT($K$7,10)</f>
        <v>sales.PETE@email.com</v>
      </c>
      <c r="L199" s="60"/>
    </row>
    <row r="200" spans="2:12" ht="15.6">
      <c r="B200" s="27">
        <v>43105</v>
      </c>
      <c r="C200" s="22" t="s">
        <v>13</v>
      </c>
      <c r="D200" s="22" t="s">
        <v>16</v>
      </c>
      <c r="E200" s="22" t="s">
        <v>15</v>
      </c>
      <c r="F200" s="22" t="s">
        <v>10</v>
      </c>
      <c r="G200" s="19">
        <v>8</v>
      </c>
      <c r="H200" s="29">
        <v>96</v>
      </c>
      <c r="I200" s="59"/>
      <c r="J200" s="59">
        <f>IF(TableSales[[#This Row],[Sales]]&gt;=70, TableSales[[#This Row],[Sales]]*0.05, "No commission")</f>
        <v>4.8000000000000007</v>
      </c>
      <c r="K200" s="60" t="str">
        <f>LEFT($J$7,6)&amp;TableSales[[#This Row],[Salesperson]]&amp;RIGHT($K$7,10)</f>
        <v>sales.PETE@email.com</v>
      </c>
      <c r="L200" s="60"/>
    </row>
    <row r="201" spans="2:12" ht="15.6">
      <c r="B201" s="28">
        <v>43109</v>
      </c>
      <c r="C201" s="23" t="s">
        <v>17</v>
      </c>
      <c r="D201" s="23" t="s">
        <v>21</v>
      </c>
      <c r="E201" s="23" t="s">
        <v>11</v>
      </c>
      <c r="F201" s="23" t="s">
        <v>14</v>
      </c>
      <c r="G201" s="20">
        <v>2</v>
      </c>
      <c r="H201" s="30">
        <v>22</v>
      </c>
      <c r="I201" s="62"/>
      <c r="J201" s="59" t="str">
        <f>IF(TableSales[[#This Row],[Sales]]&gt;=70, TableSales[[#This Row],[Sales]]*0.05, "No commission")</f>
        <v>No commission</v>
      </c>
      <c r="K201" s="60" t="str">
        <f>LEFT($J$7,6)&amp;TableSales[[#This Row],[Salesperson]]&amp;RIGHT($K$7,10)</f>
        <v>sales.LAUREN@email.com</v>
      </c>
      <c r="L201" s="60"/>
    </row>
    <row r="202" spans="2:12" ht="15.6">
      <c r="B202" s="27">
        <v>43113</v>
      </c>
      <c r="C202" s="22" t="s">
        <v>20</v>
      </c>
      <c r="D202" s="22" t="s">
        <v>21</v>
      </c>
      <c r="E202" s="22" t="s">
        <v>19</v>
      </c>
      <c r="F202" s="22" t="s">
        <v>14</v>
      </c>
      <c r="G202" s="19">
        <v>3</v>
      </c>
      <c r="H202" s="29">
        <v>39</v>
      </c>
      <c r="I202" s="59"/>
      <c r="J202" s="59" t="str">
        <f>IF(TableSales[[#This Row],[Sales]]&gt;=70, TableSales[[#This Row],[Sales]]*0.05, "No commission")</f>
        <v>No commission</v>
      </c>
      <c r="K202" s="60" t="str">
        <f>LEFT($J$7,6)&amp;TableSales[[#This Row],[Salesperson]]&amp;RIGHT($K$7,10)</f>
        <v>sales.HARRY@email.com</v>
      </c>
      <c r="L202" s="60"/>
    </row>
    <row r="203" spans="2:12" ht="15.6">
      <c r="B203" s="28">
        <v>43117</v>
      </c>
      <c r="C203" s="23" t="s">
        <v>20</v>
      </c>
      <c r="D203" s="23" t="s">
        <v>12</v>
      </c>
      <c r="E203" s="23" t="s">
        <v>25</v>
      </c>
      <c r="F203" s="23" t="s">
        <v>18</v>
      </c>
      <c r="G203" s="20">
        <v>6</v>
      </c>
      <c r="H203" s="30">
        <v>84</v>
      </c>
      <c r="I203" s="62"/>
      <c r="J203" s="59">
        <f>IF(TableSales[[#This Row],[Sales]]&gt;=70, TableSales[[#This Row],[Sales]]*0.05, "No commission")</f>
        <v>4.2</v>
      </c>
      <c r="K203" s="60" t="str">
        <f>LEFT($J$7,6)&amp;TableSales[[#This Row],[Salesperson]]&amp;RIGHT($K$7,10)</f>
        <v>sales.HARRY@email.com</v>
      </c>
      <c r="L203" s="60"/>
    </row>
    <row r="204" spans="2:12" ht="15.6">
      <c r="B204" s="27">
        <v>43119</v>
      </c>
      <c r="C204" s="22" t="s">
        <v>13</v>
      </c>
      <c r="D204" s="22" t="s">
        <v>21</v>
      </c>
      <c r="E204" s="22" t="s">
        <v>11</v>
      </c>
      <c r="F204" s="22" t="s">
        <v>10</v>
      </c>
      <c r="G204" s="19">
        <v>8</v>
      </c>
      <c r="H204" s="29">
        <v>88</v>
      </c>
      <c r="I204" s="59"/>
      <c r="J204" s="59">
        <f>IF(TableSales[[#This Row],[Sales]]&gt;=70, TableSales[[#This Row],[Sales]]*0.05, "No commission")</f>
        <v>4.4000000000000004</v>
      </c>
      <c r="K204" s="60" t="str">
        <f>LEFT($J$7,6)&amp;TableSales[[#This Row],[Salesperson]]&amp;RIGHT($K$7,10)</f>
        <v>sales.PETE@email.com</v>
      </c>
      <c r="L204" s="60"/>
    </row>
    <row r="205" spans="2:12" ht="15.6">
      <c r="B205" s="28">
        <v>43120</v>
      </c>
      <c r="C205" s="23" t="s">
        <v>24</v>
      </c>
      <c r="D205" s="23" t="s">
        <v>21</v>
      </c>
      <c r="E205" s="23" t="s">
        <v>15</v>
      </c>
      <c r="F205" s="23" t="s">
        <v>10</v>
      </c>
      <c r="G205" s="20">
        <v>8</v>
      </c>
      <c r="H205" s="30">
        <v>96</v>
      </c>
      <c r="I205" s="62"/>
      <c r="J205" s="59">
        <f>IF(TableSales[[#This Row],[Sales]]&gt;=70, TableSales[[#This Row],[Sales]]*0.05, "No commission")</f>
        <v>4.8000000000000007</v>
      </c>
      <c r="K205" s="60" t="str">
        <f>LEFT($J$7,6)&amp;TableSales[[#This Row],[Salesperson]]&amp;RIGHT($K$7,10)</f>
        <v>sales.EDGAR@email.com</v>
      </c>
      <c r="L205" s="60"/>
    </row>
    <row r="206" spans="2:12" ht="15.6">
      <c r="B206" s="27">
        <v>43121</v>
      </c>
      <c r="C206" s="22" t="s">
        <v>22</v>
      </c>
      <c r="D206" s="22" t="s">
        <v>12</v>
      </c>
      <c r="E206" s="22" t="s">
        <v>15</v>
      </c>
      <c r="F206" s="22" t="s">
        <v>14</v>
      </c>
      <c r="G206" s="19">
        <v>4</v>
      </c>
      <c r="H206" s="29">
        <v>48</v>
      </c>
      <c r="I206" s="59"/>
      <c r="J206" s="59" t="str">
        <f>IF(TableSales[[#This Row],[Sales]]&gt;=70, TableSales[[#This Row],[Sales]]*0.05, "No commission")</f>
        <v>No commission</v>
      </c>
      <c r="K206" s="60" t="str">
        <f>LEFT($J$7,6)&amp;TableSales[[#This Row],[Salesperson]]&amp;RIGHT($K$7,10)</f>
        <v>sales.MARIO@email.com</v>
      </c>
      <c r="L206" s="60"/>
    </row>
    <row r="207" spans="2:12" ht="15.6">
      <c r="B207" s="28">
        <v>43123</v>
      </c>
      <c r="C207" s="23" t="s">
        <v>13</v>
      </c>
      <c r="D207" s="23" t="s">
        <v>12</v>
      </c>
      <c r="E207" s="23" t="s">
        <v>15</v>
      </c>
      <c r="F207" s="23" t="s">
        <v>18</v>
      </c>
      <c r="G207" s="20">
        <v>6</v>
      </c>
      <c r="H207" s="30">
        <v>72</v>
      </c>
      <c r="I207" s="62"/>
      <c r="J207" s="59">
        <f>IF(TableSales[[#This Row],[Sales]]&gt;=70, TableSales[[#This Row],[Sales]]*0.05, "No commission")</f>
        <v>3.6</v>
      </c>
      <c r="K207" s="60" t="str">
        <f>LEFT($J$7,6)&amp;TableSales[[#This Row],[Salesperson]]&amp;RIGHT($K$7,10)</f>
        <v>sales.PETE@email.com</v>
      </c>
      <c r="L207" s="60"/>
    </row>
    <row r="208" spans="2:12" ht="15.6">
      <c r="B208" s="27">
        <v>43124</v>
      </c>
      <c r="C208" s="22" t="s">
        <v>17</v>
      </c>
      <c r="D208" s="22" t="s">
        <v>21</v>
      </c>
      <c r="E208" s="22" t="s">
        <v>25</v>
      </c>
      <c r="F208" s="22" t="s">
        <v>10</v>
      </c>
      <c r="G208" s="19">
        <v>7</v>
      </c>
      <c r="H208" s="29">
        <v>98</v>
      </c>
      <c r="I208" s="59"/>
      <c r="J208" s="59">
        <f>IF(TableSales[[#This Row],[Sales]]&gt;=70, TableSales[[#This Row],[Sales]]*0.05, "No commission")</f>
        <v>4.9000000000000004</v>
      </c>
      <c r="K208" s="60" t="str">
        <f>LEFT($J$7,6)&amp;TableSales[[#This Row],[Salesperson]]&amp;RIGHT($K$7,10)</f>
        <v>sales.LAUREN@email.com</v>
      </c>
      <c r="L208" s="60"/>
    </row>
    <row r="209" spans="2:12" ht="15.6">
      <c r="B209" s="28">
        <v>43125</v>
      </c>
      <c r="C209" s="23" t="s">
        <v>22</v>
      </c>
      <c r="D209" s="23" t="s">
        <v>23</v>
      </c>
      <c r="E209" s="23" t="s">
        <v>15</v>
      </c>
      <c r="F209" s="23" t="s">
        <v>10</v>
      </c>
      <c r="G209" s="20">
        <v>3</v>
      </c>
      <c r="H209" s="30">
        <v>36</v>
      </c>
      <c r="I209" s="62"/>
      <c r="J209" s="59" t="str">
        <f>IF(TableSales[[#This Row],[Sales]]&gt;=70, TableSales[[#This Row],[Sales]]*0.05, "No commission")</f>
        <v>No commission</v>
      </c>
      <c r="K209" s="60" t="str">
        <f>LEFT($J$7,6)&amp;TableSales[[#This Row],[Salesperson]]&amp;RIGHT($K$7,10)</f>
        <v>sales.MARIO@email.com</v>
      </c>
      <c r="L209" s="60"/>
    </row>
    <row r="210" spans="2:12" ht="15.6">
      <c r="B210" s="27">
        <v>43128</v>
      </c>
      <c r="C210" s="22" t="s">
        <v>22</v>
      </c>
      <c r="D210" s="22" t="s">
        <v>21</v>
      </c>
      <c r="E210" s="22" t="s">
        <v>19</v>
      </c>
      <c r="F210" s="22" t="s">
        <v>18</v>
      </c>
      <c r="G210" s="19">
        <v>4</v>
      </c>
      <c r="H210" s="29">
        <v>52</v>
      </c>
      <c r="I210" s="59"/>
      <c r="J210" s="59" t="str">
        <f>IF(TableSales[[#This Row],[Sales]]&gt;=70, TableSales[[#This Row],[Sales]]*0.05, "No commission")</f>
        <v>No commission</v>
      </c>
      <c r="K210" s="60" t="str">
        <f>LEFT($J$7,6)&amp;TableSales[[#This Row],[Salesperson]]&amp;RIGHT($K$7,10)</f>
        <v>sales.MARIO@email.com</v>
      </c>
      <c r="L210" s="60"/>
    </row>
    <row r="211" spans="2:12" ht="15.6">
      <c r="B211" s="28">
        <v>43131</v>
      </c>
      <c r="C211" s="23" t="s">
        <v>17</v>
      </c>
      <c r="D211" s="23" t="s">
        <v>12</v>
      </c>
      <c r="E211" s="23" t="s">
        <v>25</v>
      </c>
      <c r="F211" s="23" t="s">
        <v>14</v>
      </c>
      <c r="G211" s="20">
        <v>6</v>
      </c>
      <c r="H211" s="30">
        <v>84</v>
      </c>
      <c r="I211" s="62"/>
      <c r="J211" s="59">
        <f>IF(TableSales[[#This Row],[Sales]]&gt;=70, TableSales[[#This Row],[Sales]]*0.05, "No commission")</f>
        <v>4.2</v>
      </c>
      <c r="K211" s="60" t="str">
        <f>LEFT($J$7,6)&amp;TableSales[[#This Row],[Salesperson]]&amp;RIGHT($K$7,10)</f>
        <v>sales.LAUREN@email.com</v>
      </c>
      <c r="L211" s="60"/>
    </row>
    <row r="212" spans="2:12" ht="15.6">
      <c r="B212" s="27">
        <v>43134</v>
      </c>
      <c r="C212" s="22" t="s">
        <v>13</v>
      </c>
      <c r="D212" s="22" t="s">
        <v>21</v>
      </c>
      <c r="E212" s="22" t="s">
        <v>11</v>
      </c>
      <c r="F212" s="22" t="s">
        <v>10</v>
      </c>
      <c r="G212" s="19">
        <v>1</v>
      </c>
      <c r="H212" s="29">
        <v>11</v>
      </c>
      <c r="I212" s="59"/>
      <c r="J212" s="59" t="str">
        <f>IF(TableSales[[#This Row],[Sales]]&gt;=70, TableSales[[#This Row],[Sales]]*0.05, "No commission")</f>
        <v>No commission</v>
      </c>
      <c r="K212" s="60" t="str">
        <f>LEFT($J$7,6)&amp;TableSales[[#This Row],[Salesperson]]&amp;RIGHT($K$7,10)</f>
        <v>sales.PETE@email.com</v>
      </c>
      <c r="L212" s="60"/>
    </row>
    <row r="213" spans="2:12" ht="15.6">
      <c r="B213" s="28">
        <v>43137</v>
      </c>
      <c r="C213" s="23" t="s">
        <v>24</v>
      </c>
      <c r="D213" s="23" t="s">
        <v>16</v>
      </c>
      <c r="E213" s="23" t="s">
        <v>11</v>
      </c>
      <c r="F213" s="23" t="s">
        <v>10</v>
      </c>
      <c r="G213" s="20">
        <v>6</v>
      </c>
      <c r="H213" s="30">
        <v>66</v>
      </c>
      <c r="I213" s="62"/>
      <c r="J213" s="59" t="str">
        <f>IF(TableSales[[#This Row],[Sales]]&gt;=70, TableSales[[#This Row],[Sales]]*0.05, "No commission")</f>
        <v>No commission</v>
      </c>
      <c r="K213" s="60" t="str">
        <f>LEFT($J$7,6)&amp;TableSales[[#This Row],[Salesperson]]&amp;RIGHT($K$7,10)</f>
        <v>sales.EDGAR@email.com</v>
      </c>
      <c r="L213" s="60"/>
    </row>
    <row r="214" spans="2:12" ht="15.6">
      <c r="B214" s="27">
        <v>43138</v>
      </c>
      <c r="C214" s="22" t="s">
        <v>20</v>
      </c>
      <c r="D214" s="22" t="s">
        <v>12</v>
      </c>
      <c r="E214" s="22" t="s">
        <v>15</v>
      </c>
      <c r="F214" s="22" t="s">
        <v>10</v>
      </c>
      <c r="G214" s="19">
        <v>1</v>
      </c>
      <c r="H214" s="29">
        <v>12</v>
      </c>
      <c r="I214" s="59"/>
      <c r="J214" s="59" t="str">
        <f>IF(TableSales[[#This Row],[Sales]]&gt;=70, TableSales[[#This Row],[Sales]]*0.05, "No commission")</f>
        <v>No commission</v>
      </c>
      <c r="K214" s="60" t="str">
        <f>LEFT($J$7,6)&amp;TableSales[[#This Row],[Salesperson]]&amp;RIGHT($K$7,10)</f>
        <v>sales.HARRY@email.com</v>
      </c>
      <c r="L214" s="60"/>
    </row>
    <row r="215" spans="2:12" ht="15.6">
      <c r="B215" s="28">
        <v>43140</v>
      </c>
      <c r="C215" s="23" t="s">
        <v>13</v>
      </c>
      <c r="D215" s="23" t="s">
        <v>16</v>
      </c>
      <c r="E215" s="23" t="s">
        <v>15</v>
      </c>
      <c r="F215" s="23" t="s">
        <v>14</v>
      </c>
      <c r="G215" s="20">
        <v>3</v>
      </c>
      <c r="H215" s="30">
        <v>36</v>
      </c>
      <c r="I215" s="62"/>
      <c r="J215" s="59" t="str">
        <f>IF(TableSales[[#This Row],[Sales]]&gt;=70, TableSales[[#This Row],[Sales]]*0.05, "No commission")</f>
        <v>No commission</v>
      </c>
      <c r="K215" s="60" t="str">
        <f>LEFT($J$7,6)&amp;TableSales[[#This Row],[Salesperson]]&amp;RIGHT($K$7,10)</f>
        <v>sales.PETE@email.com</v>
      </c>
      <c r="L215" s="60"/>
    </row>
    <row r="216" spans="2:12" ht="15.6">
      <c r="B216" s="27">
        <v>43142</v>
      </c>
      <c r="C216" s="22" t="s">
        <v>20</v>
      </c>
      <c r="D216" s="22" t="s">
        <v>21</v>
      </c>
      <c r="E216" s="22" t="s">
        <v>19</v>
      </c>
      <c r="F216" s="22" t="s">
        <v>14</v>
      </c>
      <c r="G216" s="19">
        <v>3</v>
      </c>
      <c r="H216" s="29">
        <v>39</v>
      </c>
      <c r="I216" s="59"/>
      <c r="J216" s="59" t="str">
        <f>IF(TableSales[[#This Row],[Sales]]&gt;=70, TableSales[[#This Row],[Sales]]*0.05, "No commission")</f>
        <v>No commission</v>
      </c>
      <c r="K216" s="60" t="str">
        <f>LEFT($J$7,6)&amp;TableSales[[#This Row],[Salesperson]]&amp;RIGHT($K$7,10)</f>
        <v>sales.HARRY@email.com</v>
      </c>
      <c r="L216" s="60"/>
    </row>
    <row r="217" spans="2:12" ht="15.6">
      <c r="B217" s="28">
        <v>43145</v>
      </c>
      <c r="C217" s="23" t="s">
        <v>22</v>
      </c>
      <c r="D217" s="23" t="s">
        <v>16</v>
      </c>
      <c r="E217" s="23" t="s">
        <v>15</v>
      </c>
      <c r="F217" s="23" t="s">
        <v>10</v>
      </c>
      <c r="G217" s="20">
        <v>8</v>
      </c>
      <c r="H217" s="30">
        <v>96</v>
      </c>
      <c r="I217" s="62"/>
      <c r="J217" s="59">
        <f>IF(TableSales[[#This Row],[Sales]]&gt;=70, TableSales[[#This Row],[Sales]]*0.05, "No commission")</f>
        <v>4.8000000000000007</v>
      </c>
      <c r="K217" s="60" t="str">
        <f>LEFT($J$7,6)&amp;TableSales[[#This Row],[Salesperson]]&amp;RIGHT($K$7,10)</f>
        <v>sales.MARIO@email.com</v>
      </c>
      <c r="L217" s="60"/>
    </row>
    <row r="218" spans="2:12" ht="15.6">
      <c r="B218" s="27">
        <v>43147</v>
      </c>
      <c r="C218" s="22" t="s">
        <v>17</v>
      </c>
      <c r="D218" s="22" t="s">
        <v>23</v>
      </c>
      <c r="E218" s="22" t="s">
        <v>25</v>
      </c>
      <c r="F218" s="22" t="s">
        <v>14</v>
      </c>
      <c r="G218" s="19">
        <v>3</v>
      </c>
      <c r="H218" s="29">
        <v>42</v>
      </c>
      <c r="I218" s="59"/>
      <c r="J218" s="59" t="str">
        <f>IF(TableSales[[#This Row],[Sales]]&gt;=70, TableSales[[#This Row],[Sales]]*0.05, "No commission")</f>
        <v>No commission</v>
      </c>
      <c r="K218" s="60" t="str">
        <f>LEFT($J$7,6)&amp;TableSales[[#This Row],[Salesperson]]&amp;RIGHT($K$7,10)</f>
        <v>sales.LAUREN@email.com</v>
      </c>
      <c r="L218" s="60"/>
    </row>
    <row r="219" spans="2:12" ht="15.6">
      <c r="B219" s="28">
        <v>43150</v>
      </c>
      <c r="C219" s="23" t="s">
        <v>24</v>
      </c>
      <c r="D219" s="23" t="s">
        <v>12</v>
      </c>
      <c r="E219" s="23" t="s">
        <v>15</v>
      </c>
      <c r="F219" s="23" t="s">
        <v>10</v>
      </c>
      <c r="G219" s="20">
        <v>7</v>
      </c>
      <c r="H219" s="30">
        <v>84</v>
      </c>
      <c r="I219" s="62"/>
      <c r="J219" s="59">
        <f>IF(TableSales[[#This Row],[Sales]]&gt;=70, TableSales[[#This Row],[Sales]]*0.05, "No commission")</f>
        <v>4.2</v>
      </c>
      <c r="K219" s="60" t="str">
        <f>LEFT($J$7,6)&amp;TableSales[[#This Row],[Salesperson]]&amp;RIGHT($K$7,10)</f>
        <v>sales.EDGAR@email.com</v>
      </c>
      <c r="L219" s="60"/>
    </row>
    <row r="220" spans="2:12" ht="15.6">
      <c r="B220" s="27">
        <v>43154</v>
      </c>
      <c r="C220" s="22" t="s">
        <v>13</v>
      </c>
      <c r="D220" s="22" t="s">
        <v>12</v>
      </c>
      <c r="E220" s="22" t="s">
        <v>15</v>
      </c>
      <c r="F220" s="22" t="s">
        <v>14</v>
      </c>
      <c r="G220" s="19">
        <v>5</v>
      </c>
      <c r="H220" s="29">
        <v>60</v>
      </c>
      <c r="I220" s="59"/>
      <c r="J220" s="59" t="str">
        <f>IF(TableSales[[#This Row],[Sales]]&gt;=70, TableSales[[#This Row],[Sales]]*0.05, "No commission")</f>
        <v>No commission</v>
      </c>
      <c r="K220" s="60" t="str">
        <f>LEFT($J$7,6)&amp;TableSales[[#This Row],[Salesperson]]&amp;RIGHT($K$7,10)</f>
        <v>sales.PETE@email.com</v>
      </c>
      <c r="L220" s="60"/>
    </row>
    <row r="221" spans="2:12" ht="15.6">
      <c r="B221" s="28">
        <v>43157</v>
      </c>
      <c r="C221" s="23" t="s">
        <v>13</v>
      </c>
      <c r="D221" s="23" t="s">
        <v>21</v>
      </c>
      <c r="E221" s="23" t="s">
        <v>19</v>
      </c>
      <c r="F221" s="23" t="s">
        <v>18</v>
      </c>
      <c r="G221" s="20">
        <v>4</v>
      </c>
      <c r="H221" s="30">
        <v>52</v>
      </c>
      <c r="I221" s="62"/>
      <c r="J221" s="59" t="str">
        <f>IF(TableSales[[#This Row],[Sales]]&gt;=70, TableSales[[#This Row],[Sales]]*0.05, "No commission")</f>
        <v>No commission</v>
      </c>
      <c r="K221" s="60" t="str">
        <f>LEFT($J$7,6)&amp;TableSales[[#This Row],[Salesperson]]&amp;RIGHT($K$7,10)</f>
        <v>sales.PETE@email.com</v>
      </c>
      <c r="L221" s="60"/>
    </row>
    <row r="222" spans="2:12" ht="15.6">
      <c r="B222" s="27">
        <v>43161</v>
      </c>
      <c r="C222" s="22" t="s">
        <v>22</v>
      </c>
      <c r="D222" s="22" t="s">
        <v>21</v>
      </c>
      <c r="E222" s="22" t="s">
        <v>11</v>
      </c>
      <c r="F222" s="22" t="s">
        <v>10</v>
      </c>
      <c r="G222" s="19">
        <v>5</v>
      </c>
      <c r="H222" s="29">
        <v>55</v>
      </c>
      <c r="I222" s="59"/>
      <c r="J222" s="59" t="str">
        <f>IF(TableSales[[#This Row],[Sales]]&gt;=70, TableSales[[#This Row],[Sales]]*0.05, "No commission")</f>
        <v>No commission</v>
      </c>
      <c r="K222" s="60" t="str">
        <f>LEFT($J$7,6)&amp;TableSales[[#This Row],[Salesperson]]&amp;RIGHT($K$7,10)</f>
        <v>sales.MARIO@email.com</v>
      </c>
      <c r="L222" s="60"/>
    </row>
    <row r="223" spans="2:12" ht="15.6">
      <c r="B223" s="28">
        <v>43164</v>
      </c>
      <c r="C223" s="23" t="s">
        <v>13</v>
      </c>
      <c r="D223" s="23" t="s">
        <v>12</v>
      </c>
      <c r="E223" s="23" t="s">
        <v>11</v>
      </c>
      <c r="F223" s="23" t="s">
        <v>10</v>
      </c>
      <c r="G223" s="20">
        <v>1</v>
      </c>
      <c r="H223" s="30">
        <v>11</v>
      </c>
      <c r="I223" s="62"/>
      <c r="J223" s="59" t="str">
        <f>IF(TableSales[[#This Row],[Sales]]&gt;=70, TableSales[[#This Row],[Sales]]*0.05, "No commission")</f>
        <v>No commission</v>
      </c>
      <c r="K223" s="60" t="str">
        <f>LEFT($J$7,6)&amp;TableSales[[#This Row],[Salesperson]]&amp;RIGHT($K$7,10)</f>
        <v>sales.PETE@email.com</v>
      </c>
      <c r="L223" s="60"/>
    </row>
    <row r="224" spans="2:12" ht="15.6">
      <c r="B224" s="27">
        <v>43165</v>
      </c>
      <c r="C224" s="22" t="s">
        <v>20</v>
      </c>
      <c r="D224" s="22" t="s">
        <v>21</v>
      </c>
      <c r="E224" s="22" t="s">
        <v>15</v>
      </c>
      <c r="F224" s="22" t="s">
        <v>14</v>
      </c>
      <c r="G224" s="19">
        <v>8</v>
      </c>
      <c r="H224" s="29">
        <v>96</v>
      </c>
      <c r="I224" s="59"/>
      <c r="J224" s="59">
        <f>IF(TableSales[[#This Row],[Sales]]&gt;=70, TableSales[[#This Row],[Sales]]*0.05, "No commission")</f>
        <v>4.8000000000000007</v>
      </c>
      <c r="K224" s="60" t="str">
        <f>LEFT($J$7,6)&amp;TableSales[[#This Row],[Salesperson]]&amp;RIGHT($K$7,10)</f>
        <v>sales.HARRY@email.com</v>
      </c>
      <c r="L224" s="60"/>
    </row>
    <row r="225" spans="2:12" ht="15.6">
      <c r="B225" s="28">
        <v>43168</v>
      </c>
      <c r="C225" s="23" t="s">
        <v>24</v>
      </c>
      <c r="D225" s="23" t="s">
        <v>21</v>
      </c>
      <c r="E225" s="23" t="s">
        <v>15</v>
      </c>
      <c r="F225" s="23" t="s">
        <v>18</v>
      </c>
      <c r="G225" s="20">
        <v>7</v>
      </c>
      <c r="H225" s="30">
        <v>84</v>
      </c>
      <c r="I225" s="62"/>
      <c r="J225" s="59">
        <f>IF(TableSales[[#This Row],[Sales]]&gt;=70, TableSales[[#This Row],[Sales]]*0.05, "No commission")</f>
        <v>4.2</v>
      </c>
      <c r="K225" s="60" t="str">
        <f>LEFT($J$7,6)&amp;TableSales[[#This Row],[Salesperson]]&amp;RIGHT($K$7,10)</f>
        <v>sales.EDGAR@email.com</v>
      </c>
      <c r="L225" s="60"/>
    </row>
    <row r="226" spans="2:12" ht="15.6">
      <c r="B226" s="27">
        <v>43170</v>
      </c>
      <c r="C226" s="22" t="s">
        <v>17</v>
      </c>
      <c r="D226" s="22" t="s">
        <v>12</v>
      </c>
      <c r="E226" s="22" t="s">
        <v>25</v>
      </c>
      <c r="F226" s="22" t="s">
        <v>14</v>
      </c>
      <c r="G226" s="19">
        <v>5</v>
      </c>
      <c r="H226" s="29">
        <v>70</v>
      </c>
      <c r="I226" s="59"/>
      <c r="J226" s="59">
        <f>IF(TableSales[[#This Row],[Sales]]&gt;=70, TableSales[[#This Row],[Sales]]*0.05, "No commission")</f>
        <v>3.5</v>
      </c>
      <c r="K226" s="60" t="str">
        <f>LEFT($J$7,6)&amp;TableSales[[#This Row],[Salesperson]]&amp;RIGHT($K$7,10)</f>
        <v>sales.LAUREN@email.com</v>
      </c>
      <c r="L226" s="60"/>
    </row>
    <row r="227" spans="2:12" ht="15.6">
      <c r="B227" s="28">
        <v>43174</v>
      </c>
      <c r="C227" s="23" t="s">
        <v>13</v>
      </c>
      <c r="D227" s="23" t="s">
        <v>12</v>
      </c>
      <c r="E227" s="23" t="s">
        <v>25</v>
      </c>
      <c r="F227" s="23" t="s">
        <v>18</v>
      </c>
      <c r="G227" s="20">
        <v>4</v>
      </c>
      <c r="H227" s="30">
        <v>56</v>
      </c>
      <c r="I227" s="62"/>
      <c r="J227" s="59" t="str">
        <f>IF(TableSales[[#This Row],[Sales]]&gt;=70, TableSales[[#This Row],[Sales]]*0.05, "No commission")</f>
        <v>No commission</v>
      </c>
      <c r="K227" s="60" t="str">
        <f>LEFT($J$7,6)&amp;TableSales[[#This Row],[Salesperson]]&amp;RIGHT($K$7,10)</f>
        <v>sales.PETE@email.com</v>
      </c>
      <c r="L227" s="60"/>
    </row>
    <row r="228" spans="2:12" ht="15.6">
      <c r="B228" s="27">
        <v>43175</v>
      </c>
      <c r="C228" s="22" t="s">
        <v>17</v>
      </c>
      <c r="D228" s="22" t="s">
        <v>12</v>
      </c>
      <c r="E228" s="22" t="s">
        <v>15</v>
      </c>
      <c r="F228" s="22" t="s">
        <v>14</v>
      </c>
      <c r="G228" s="19">
        <v>6</v>
      </c>
      <c r="H228" s="29">
        <v>72</v>
      </c>
      <c r="I228" s="59"/>
      <c r="J228" s="59">
        <f>IF(TableSales[[#This Row],[Sales]]&gt;=70, TableSales[[#This Row],[Sales]]*0.05, "No commission")</f>
        <v>3.6</v>
      </c>
      <c r="K228" s="60" t="str">
        <f>LEFT($J$7,6)&amp;TableSales[[#This Row],[Salesperson]]&amp;RIGHT($K$7,10)</f>
        <v>sales.LAUREN@email.com</v>
      </c>
      <c r="L228" s="60"/>
    </row>
    <row r="229" spans="2:12" ht="15.6">
      <c r="B229" s="28">
        <v>43176</v>
      </c>
      <c r="C229" s="23" t="s">
        <v>13</v>
      </c>
      <c r="D229" s="23" t="s">
        <v>23</v>
      </c>
      <c r="E229" s="23" t="s">
        <v>15</v>
      </c>
      <c r="F229" s="23" t="s">
        <v>18</v>
      </c>
      <c r="G229" s="20">
        <v>4</v>
      </c>
      <c r="H229" s="30">
        <v>48</v>
      </c>
      <c r="I229" s="62"/>
      <c r="J229" s="59" t="str">
        <f>IF(TableSales[[#This Row],[Sales]]&gt;=70, TableSales[[#This Row],[Sales]]*0.05, "No commission")</f>
        <v>No commission</v>
      </c>
      <c r="K229" s="60" t="str">
        <f>LEFT($J$7,6)&amp;TableSales[[#This Row],[Salesperson]]&amp;RIGHT($K$7,10)</f>
        <v>sales.PETE@email.com</v>
      </c>
      <c r="L229" s="60"/>
    </row>
    <row r="230" spans="2:12" ht="15.6">
      <c r="B230" s="27">
        <v>43177</v>
      </c>
      <c r="C230" s="22" t="s">
        <v>20</v>
      </c>
      <c r="D230" s="22" t="s">
        <v>21</v>
      </c>
      <c r="E230" s="22" t="s">
        <v>25</v>
      </c>
      <c r="F230" s="22" t="s">
        <v>10</v>
      </c>
      <c r="G230" s="19">
        <v>4</v>
      </c>
      <c r="H230" s="29">
        <v>56</v>
      </c>
      <c r="I230" s="59"/>
      <c r="J230" s="59" t="str">
        <f>IF(TableSales[[#This Row],[Sales]]&gt;=70, TableSales[[#This Row],[Sales]]*0.05, "No commission")</f>
        <v>No commission</v>
      </c>
      <c r="K230" s="60" t="str">
        <f>LEFT($J$7,6)&amp;TableSales[[#This Row],[Salesperson]]&amp;RIGHT($K$7,10)</f>
        <v>sales.HARRY@email.com</v>
      </c>
      <c r="L230" s="60"/>
    </row>
    <row r="231" spans="2:12" ht="15.6">
      <c r="B231" s="28">
        <v>43178</v>
      </c>
      <c r="C231" s="23" t="s">
        <v>24</v>
      </c>
      <c r="D231" s="23" t="s">
        <v>12</v>
      </c>
      <c r="E231" s="23" t="s">
        <v>19</v>
      </c>
      <c r="F231" s="23" t="s">
        <v>18</v>
      </c>
      <c r="G231" s="20">
        <v>1</v>
      </c>
      <c r="H231" s="30">
        <v>13</v>
      </c>
      <c r="I231" s="62"/>
      <c r="J231" s="59" t="str">
        <f>IF(TableSales[[#This Row],[Sales]]&gt;=70, TableSales[[#This Row],[Sales]]*0.05, "No commission")</f>
        <v>No commission</v>
      </c>
      <c r="K231" s="60" t="str">
        <f>LEFT($J$7,6)&amp;TableSales[[#This Row],[Salesperson]]&amp;RIGHT($K$7,10)</f>
        <v>sales.EDGAR@email.com</v>
      </c>
      <c r="L231" s="60"/>
    </row>
    <row r="232" spans="2:12" ht="15.6">
      <c r="B232" s="27">
        <v>43182</v>
      </c>
      <c r="C232" s="22" t="s">
        <v>22</v>
      </c>
      <c r="D232" s="22" t="s">
        <v>16</v>
      </c>
      <c r="E232" s="22" t="s">
        <v>19</v>
      </c>
      <c r="F232" s="22" t="s">
        <v>10</v>
      </c>
      <c r="G232" s="19">
        <v>8</v>
      </c>
      <c r="H232" s="29">
        <v>104</v>
      </c>
      <c r="I232" s="59"/>
      <c r="J232" s="59">
        <f>IF(TableSales[[#This Row],[Sales]]&gt;=70, TableSales[[#This Row],[Sales]]*0.05, "No commission")</f>
        <v>5.2</v>
      </c>
      <c r="K232" s="60" t="str">
        <f>LEFT($J$7,6)&amp;TableSales[[#This Row],[Salesperson]]&amp;RIGHT($K$7,10)</f>
        <v>sales.MARIO@email.com</v>
      </c>
      <c r="L232" s="60"/>
    </row>
    <row r="233" spans="2:12" ht="15.6">
      <c r="B233" s="28">
        <v>43184</v>
      </c>
      <c r="C233" s="23" t="s">
        <v>24</v>
      </c>
      <c r="D233" s="23" t="s">
        <v>12</v>
      </c>
      <c r="E233" s="23" t="s">
        <v>19</v>
      </c>
      <c r="F233" s="23" t="s">
        <v>18</v>
      </c>
      <c r="G233" s="20">
        <v>1</v>
      </c>
      <c r="H233" s="30">
        <v>13</v>
      </c>
      <c r="I233" s="62"/>
      <c r="J233" s="59" t="str">
        <f>IF(TableSales[[#This Row],[Sales]]&gt;=70, TableSales[[#This Row],[Sales]]*0.05, "No commission")</f>
        <v>No commission</v>
      </c>
      <c r="K233" s="60" t="str">
        <f>LEFT($J$7,6)&amp;TableSales[[#This Row],[Salesperson]]&amp;RIGHT($K$7,10)</f>
        <v>sales.EDGAR@email.com</v>
      </c>
      <c r="L233" s="60"/>
    </row>
    <row r="234" spans="2:12" ht="15.6">
      <c r="B234" s="27">
        <v>43186</v>
      </c>
      <c r="C234" s="22" t="s">
        <v>20</v>
      </c>
      <c r="D234" s="22" t="s">
        <v>23</v>
      </c>
      <c r="E234" s="22" t="s">
        <v>15</v>
      </c>
      <c r="F234" s="22" t="s">
        <v>10</v>
      </c>
      <c r="G234" s="19">
        <v>4</v>
      </c>
      <c r="H234" s="29">
        <v>48</v>
      </c>
      <c r="I234" s="59"/>
      <c r="J234" s="59" t="str">
        <f>IF(TableSales[[#This Row],[Sales]]&gt;=70, TableSales[[#This Row],[Sales]]*0.05, "No commission")</f>
        <v>No commission</v>
      </c>
      <c r="K234" s="60" t="str">
        <f>LEFT($J$7,6)&amp;TableSales[[#This Row],[Salesperson]]&amp;RIGHT($K$7,10)</f>
        <v>sales.HARRY@email.com</v>
      </c>
      <c r="L234" s="60"/>
    </row>
    <row r="235" spans="2:12" ht="15.6">
      <c r="B235" s="28">
        <v>43189</v>
      </c>
      <c r="C235" s="23" t="s">
        <v>17</v>
      </c>
      <c r="D235" s="23" t="s">
        <v>12</v>
      </c>
      <c r="E235" s="23" t="s">
        <v>25</v>
      </c>
      <c r="F235" s="23" t="s">
        <v>18</v>
      </c>
      <c r="G235" s="20">
        <v>1</v>
      </c>
      <c r="H235" s="30">
        <v>14</v>
      </c>
      <c r="I235" s="62"/>
      <c r="J235" s="59" t="str">
        <f>IF(TableSales[[#This Row],[Sales]]&gt;=70, TableSales[[#This Row],[Sales]]*0.05, "No commission")</f>
        <v>No commission</v>
      </c>
      <c r="K235" s="60" t="str">
        <f>LEFT($J$7,6)&amp;TableSales[[#This Row],[Salesperson]]&amp;RIGHT($K$7,10)</f>
        <v>sales.LAUREN@email.com</v>
      </c>
      <c r="L235" s="60"/>
    </row>
    <row r="236" spans="2:12" ht="15.6">
      <c r="B236" s="27">
        <v>43191</v>
      </c>
      <c r="C236" s="22" t="s">
        <v>22</v>
      </c>
      <c r="D236" s="22" t="s">
        <v>16</v>
      </c>
      <c r="E236" s="22" t="s">
        <v>25</v>
      </c>
      <c r="F236" s="22" t="s">
        <v>10</v>
      </c>
      <c r="G236" s="19">
        <v>4</v>
      </c>
      <c r="H236" s="29">
        <v>56</v>
      </c>
      <c r="I236" s="59"/>
      <c r="J236" s="59" t="str">
        <f>IF(TableSales[[#This Row],[Sales]]&gt;=70, TableSales[[#This Row],[Sales]]*0.05, "No commission")</f>
        <v>No commission</v>
      </c>
      <c r="K236" s="60" t="str">
        <f>LEFT($J$7,6)&amp;TableSales[[#This Row],[Salesperson]]&amp;RIGHT($K$7,10)</f>
        <v>sales.MARIO@email.com</v>
      </c>
      <c r="L236" s="60"/>
    </row>
    <row r="237" spans="2:12" ht="15.6">
      <c r="B237" s="28">
        <v>43194</v>
      </c>
      <c r="C237" s="23" t="s">
        <v>20</v>
      </c>
      <c r="D237" s="23" t="s">
        <v>12</v>
      </c>
      <c r="E237" s="23" t="s">
        <v>11</v>
      </c>
      <c r="F237" s="23" t="s">
        <v>10</v>
      </c>
      <c r="G237" s="20">
        <v>8</v>
      </c>
      <c r="H237" s="30">
        <v>88</v>
      </c>
      <c r="I237" s="62"/>
      <c r="J237" s="59">
        <f>IF(TableSales[[#This Row],[Sales]]&gt;=70, TableSales[[#This Row],[Sales]]*0.05, "No commission")</f>
        <v>4.4000000000000004</v>
      </c>
      <c r="K237" s="60" t="str">
        <f>LEFT($J$7,6)&amp;TableSales[[#This Row],[Salesperson]]&amp;RIGHT($K$7,10)</f>
        <v>sales.HARRY@email.com</v>
      </c>
      <c r="L237" s="60"/>
    </row>
    <row r="238" spans="2:12" ht="15.6">
      <c r="B238" s="27">
        <v>43196</v>
      </c>
      <c r="C238" s="22" t="s">
        <v>13</v>
      </c>
      <c r="D238" s="22" t="s">
        <v>12</v>
      </c>
      <c r="E238" s="22" t="s">
        <v>25</v>
      </c>
      <c r="F238" s="22" t="s">
        <v>18</v>
      </c>
      <c r="G238" s="19">
        <v>4</v>
      </c>
      <c r="H238" s="29">
        <v>56</v>
      </c>
      <c r="I238" s="59"/>
      <c r="J238" s="59" t="str">
        <f>IF(TableSales[[#This Row],[Sales]]&gt;=70, TableSales[[#This Row],[Sales]]*0.05, "No commission")</f>
        <v>No commission</v>
      </c>
      <c r="K238" s="60" t="str">
        <f>LEFT($J$7,6)&amp;TableSales[[#This Row],[Salesperson]]&amp;RIGHT($K$7,10)</f>
        <v>sales.PETE@email.com</v>
      </c>
      <c r="L238" s="60"/>
    </row>
    <row r="239" spans="2:12" ht="15.6">
      <c r="B239" s="28">
        <v>43197</v>
      </c>
      <c r="C239" s="23" t="s">
        <v>13</v>
      </c>
      <c r="D239" s="23" t="s">
        <v>21</v>
      </c>
      <c r="E239" s="23" t="s">
        <v>19</v>
      </c>
      <c r="F239" s="23" t="s">
        <v>14</v>
      </c>
      <c r="G239" s="20">
        <v>6</v>
      </c>
      <c r="H239" s="30">
        <v>78</v>
      </c>
      <c r="I239" s="62"/>
      <c r="J239" s="59">
        <f>IF(TableSales[[#This Row],[Sales]]&gt;=70, TableSales[[#This Row],[Sales]]*0.05, "No commission")</f>
        <v>3.9000000000000004</v>
      </c>
      <c r="K239" s="60" t="str">
        <f>LEFT($J$7,6)&amp;TableSales[[#This Row],[Salesperson]]&amp;RIGHT($K$7,10)</f>
        <v>sales.PETE@email.com</v>
      </c>
      <c r="L239" s="60"/>
    </row>
    <row r="240" spans="2:12" ht="15.6">
      <c r="B240" s="27">
        <v>43201</v>
      </c>
      <c r="C240" s="22" t="s">
        <v>17</v>
      </c>
      <c r="D240" s="22" t="s">
        <v>23</v>
      </c>
      <c r="E240" s="22" t="s">
        <v>25</v>
      </c>
      <c r="F240" s="22" t="s">
        <v>18</v>
      </c>
      <c r="G240" s="19">
        <v>8</v>
      </c>
      <c r="H240" s="29">
        <v>112</v>
      </c>
      <c r="I240" s="59"/>
      <c r="J240" s="59">
        <f>IF(TableSales[[#This Row],[Sales]]&gt;=70, TableSales[[#This Row],[Sales]]*0.05, "No commission")</f>
        <v>5.6000000000000005</v>
      </c>
      <c r="K240" s="60" t="str">
        <f>LEFT($J$7,6)&amp;TableSales[[#This Row],[Salesperson]]&amp;RIGHT($K$7,10)</f>
        <v>sales.LAUREN@email.com</v>
      </c>
      <c r="L240" s="60"/>
    </row>
    <row r="241" spans="2:12" ht="15.6">
      <c r="B241" s="28">
        <v>43205</v>
      </c>
      <c r="C241" s="23" t="s">
        <v>20</v>
      </c>
      <c r="D241" s="23" t="s">
        <v>21</v>
      </c>
      <c r="E241" s="23" t="s">
        <v>25</v>
      </c>
      <c r="F241" s="23" t="s">
        <v>10</v>
      </c>
      <c r="G241" s="20">
        <v>3</v>
      </c>
      <c r="H241" s="30">
        <v>42</v>
      </c>
      <c r="I241" s="62"/>
      <c r="J241" s="59" t="str">
        <f>IF(TableSales[[#This Row],[Sales]]&gt;=70, TableSales[[#This Row],[Sales]]*0.05, "No commission")</f>
        <v>No commission</v>
      </c>
      <c r="K241" s="60" t="str">
        <f>LEFT($J$7,6)&amp;TableSales[[#This Row],[Salesperson]]&amp;RIGHT($K$7,10)</f>
        <v>sales.HARRY@email.com</v>
      </c>
      <c r="L241" s="60"/>
    </row>
    <row r="242" spans="2:12" ht="15.6">
      <c r="B242" s="27">
        <v>43206</v>
      </c>
      <c r="C242" s="22" t="s">
        <v>24</v>
      </c>
      <c r="D242" s="22" t="s">
        <v>21</v>
      </c>
      <c r="E242" s="22" t="s">
        <v>15</v>
      </c>
      <c r="F242" s="22" t="s">
        <v>10</v>
      </c>
      <c r="G242" s="19">
        <v>2</v>
      </c>
      <c r="H242" s="29">
        <v>24</v>
      </c>
      <c r="I242" s="59"/>
      <c r="J242" s="59" t="str">
        <f>IF(TableSales[[#This Row],[Sales]]&gt;=70, TableSales[[#This Row],[Sales]]*0.05, "No commission")</f>
        <v>No commission</v>
      </c>
      <c r="K242" s="60" t="str">
        <f>LEFT($J$7,6)&amp;TableSales[[#This Row],[Salesperson]]&amp;RIGHT($K$7,10)</f>
        <v>sales.EDGAR@email.com</v>
      </c>
      <c r="L242" s="60"/>
    </row>
    <row r="243" spans="2:12" ht="15.6">
      <c r="B243" s="28">
        <v>43210</v>
      </c>
      <c r="C243" s="23" t="s">
        <v>13</v>
      </c>
      <c r="D243" s="23" t="s">
        <v>21</v>
      </c>
      <c r="E243" s="23" t="s">
        <v>15</v>
      </c>
      <c r="F243" s="23" t="s">
        <v>18</v>
      </c>
      <c r="G243" s="20">
        <v>7</v>
      </c>
      <c r="H243" s="30">
        <v>84</v>
      </c>
      <c r="I243" s="62"/>
      <c r="J243" s="59">
        <f>IF(TableSales[[#This Row],[Sales]]&gt;=70, TableSales[[#This Row],[Sales]]*0.05, "No commission")</f>
        <v>4.2</v>
      </c>
      <c r="K243" s="60" t="str">
        <f>LEFT($J$7,6)&amp;TableSales[[#This Row],[Salesperson]]&amp;RIGHT($K$7,10)</f>
        <v>sales.PETE@email.com</v>
      </c>
      <c r="L243" s="60"/>
    </row>
    <row r="244" spans="2:12" ht="15.6">
      <c r="B244" s="27">
        <v>43211</v>
      </c>
      <c r="C244" s="22" t="s">
        <v>22</v>
      </c>
      <c r="D244" s="22" t="s">
        <v>12</v>
      </c>
      <c r="E244" s="22" t="s">
        <v>19</v>
      </c>
      <c r="F244" s="22" t="s">
        <v>10</v>
      </c>
      <c r="G244" s="19">
        <v>1</v>
      </c>
      <c r="H244" s="29">
        <v>13</v>
      </c>
      <c r="I244" s="59"/>
      <c r="J244" s="59" t="str">
        <f>IF(TableSales[[#This Row],[Sales]]&gt;=70, TableSales[[#This Row],[Sales]]*0.05, "No commission")</f>
        <v>No commission</v>
      </c>
      <c r="K244" s="60" t="str">
        <f>LEFT($J$7,6)&amp;TableSales[[#This Row],[Salesperson]]&amp;RIGHT($K$7,10)</f>
        <v>sales.MARIO@email.com</v>
      </c>
      <c r="L244" s="60"/>
    </row>
    <row r="245" spans="2:12" ht="15.6">
      <c r="B245" s="28">
        <v>43212</v>
      </c>
      <c r="C245" s="23" t="s">
        <v>13</v>
      </c>
      <c r="D245" s="23" t="s">
        <v>21</v>
      </c>
      <c r="E245" s="23" t="s">
        <v>19</v>
      </c>
      <c r="F245" s="23" t="s">
        <v>14</v>
      </c>
      <c r="G245" s="20">
        <v>5</v>
      </c>
      <c r="H245" s="30">
        <v>65</v>
      </c>
      <c r="I245" s="62"/>
      <c r="J245" s="59" t="str">
        <f>IF(TableSales[[#This Row],[Sales]]&gt;=70, TableSales[[#This Row],[Sales]]*0.05, "No commission")</f>
        <v>No commission</v>
      </c>
      <c r="K245" s="60" t="str">
        <f>LEFT($J$7,6)&amp;TableSales[[#This Row],[Salesperson]]&amp;RIGHT($K$7,10)</f>
        <v>sales.PETE@email.com</v>
      </c>
      <c r="L245" s="60"/>
    </row>
    <row r="246" spans="2:12" ht="15.6">
      <c r="B246" s="27">
        <v>43216</v>
      </c>
      <c r="C246" s="22" t="s">
        <v>22</v>
      </c>
      <c r="D246" s="22" t="s">
        <v>21</v>
      </c>
      <c r="E246" s="22" t="s">
        <v>11</v>
      </c>
      <c r="F246" s="22" t="s">
        <v>14</v>
      </c>
      <c r="G246" s="19">
        <v>8</v>
      </c>
      <c r="H246" s="29">
        <v>88</v>
      </c>
      <c r="I246" s="59"/>
      <c r="J246" s="59">
        <f>IF(TableSales[[#This Row],[Sales]]&gt;=70, TableSales[[#This Row],[Sales]]*0.05, "No commission")</f>
        <v>4.4000000000000004</v>
      </c>
      <c r="K246" s="60" t="str">
        <f>LEFT($J$7,6)&amp;TableSales[[#This Row],[Salesperson]]&amp;RIGHT($K$7,10)</f>
        <v>sales.MARIO@email.com</v>
      </c>
      <c r="L246" s="60"/>
    </row>
    <row r="247" spans="2:12" ht="15.6">
      <c r="B247" s="28">
        <v>43220</v>
      </c>
      <c r="C247" s="23" t="s">
        <v>17</v>
      </c>
      <c r="D247" s="23" t="s">
        <v>12</v>
      </c>
      <c r="E247" s="23" t="s">
        <v>25</v>
      </c>
      <c r="F247" s="23" t="s">
        <v>10</v>
      </c>
      <c r="G247" s="20">
        <v>8</v>
      </c>
      <c r="H247" s="30">
        <v>112</v>
      </c>
      <c r="I247" s="62"/>
      <c r="J247" s="59">
        <f>IF(TableSales[[#This Row],[Sales]]&gt;=70, TableSales[[#This Row],[Sales]]*0.05, "No commission")</f>
        <v>5.6000000000000005</v>
      </c>
      <c r="K247" s="60" t="str">
        <f>LEFT($J$7,6)&amp;TableSales[[#This Row],[Salesperson]]&amp;RIGHT($K$7,10)</f>
        <v>sales.LAUREN@email.com</v>
      </c>
      <c r="L247" s="60"/>
    </row>
    <row r="248" spans="2:12" ht="15.6">
      <c r="B248" s="27">
        <v>43224</v>
      </c>
      <c r="C248" s="22" t="s">
        <v>24</v>
      </c>
      <c r="D248" s="22" t="s">
        <v>12</v>
      </c>
      <c r="E248" s="22" t="s">
        <v>15</v>
      </c>
      <c r="F248" s="22" t="s">
        <v>10</v>
      </c>
      <c r="G248" s="19">
        <v>3</v>
      </c>
      <c r="H248" s="29">
        <v>36</v>
      </c>
      <c r="I248" s="59"/>
      <c r="J248" s="59" t="str">
        <f>IF(TableSales[[#This Row],[Sales]]&gt;=70, TableSales[[#This Row],[Sales]]*0.05, "No commission")</f>
        <v>No commission</v>
      </c>
      <c r="K248" s="60" t="str">
        <f>LEFT($J$7,6)&amp;TableSales[[#This Row],[Salesperson]]&amp;RIGHT($K$7,10)</f>
        <v>sales.EDGAR@email.com</v>
      </c>
      <c r="L248" s="60"/>
    </row>
    <row r="249" spans="2:12" ht="15.6">
      <c r="B249" s="28">
        <v>43225</v>
      </c>
      <c r="C249" s="23" t="s">
        <v>17</v>
      </c>
      <c r="D249" s="23" t="s">
        <v>12</v>
      </c>
      <c r="E249" s="23" t="s">
        <v>11</v>
      </c>
      <c r="F249" s="23" t="s">
        <v>10</v>
      </c>
      <c r="G249" s="20">
        <v>2</v>
      </c>
      <c r="H249" s="30">
        <v>22</v>
      </c>
      <c r="I249" s="62"/>
      <c r="J249" s="59" t="str">
        <f>IF(TableSales[[#This Row],[Sales]]&gt;=70, TableSales[[#This Row],[Sales]]*0.05, "No commission")</f>
        <v>No commission</v>
      </c>
      <c r="K249" s="60" t="str">
        <f>LEFT($J$7,6)&amp;TableSales[[#This Row],[Salesperson]]&amp;RIGHT($K$7,10)</f>
        <v>sales.LAUREN@email.com</v>
      </c>
      <c r="L249" s="60"/>
    </row>
    <row r="250" spans="2:12" ht="15.6">
      <c r="B250" s="27">
        <v>43229</v>
      </c>
      <c r="C250" s="22" t="s">
        <v>13</v>
      </c>
      <c r="D250" s="22" t="s">
        <v>12</v>
      </c>
      <c r="E250" s="22" t="s">
        <v>15</v>
      </c>
      <c r="F250" s="22" t="s">
        <v>14</v>
      </c>
      <c r="G250" s="19">
        <v>1</v>
      </c>
      <c r="H250" s="29">
        <v>12</v>
      </c>
      <c r="I250" s="59"/>
      <c r="J250" s="59" t="str">
        <f>IF(TableSales[[#This Row],[Sales]]&gt;=70, TableSales[[#This Row],[Sales]]*0.05, "No commission")</f>
        <v>No commission</v>
      </c>
      <c r="K250" s="60" t="str">
        <f>LEFT($J$7,6)&amp;TableSales[[#This Row],[Salesperson]]&amp;RIGHT($K$7,10)</f>
        <v>sales.PETE@email.com</v>
      </c>
      <c r="L250" s="60"/>
    </row>
    <row r="251" spans="2:12" ht="15.6">
      <c r="B251" s="28">
        <v>43232</v>
      </c>
      <c r="C251" s="23" t="s">
        <v>24</v>
      </c>
      <c r="D251" s="23" t="s">
        <v>23</v>
      </c>
      <c r="E251" s="23" t="s">
        <v>15</v>
      </c>
      <c r="F251" s="23" t="s">
        <v>10</v>
      </c>
      <c r="G251" s="20">
        <v>6</v>
      </c>
      <c r="H251" s="30">
        <v>72</v>
      </c>
      <c r="I251" s="62"/>
      <c r="J251" s="59">
        <f>IF(TableSales[[#This Row],[Sales]]&gt;=70, TableSales[[#This Row],[Sales]]*0.05, "No commission")</f>
        <v>3.6</v>
      </c>
      <c r="K251" s="60" t="str">
        <f>LEFT($J$7,6)&amp;TableSales[[#This Row],[Salesperson]]&amp;RIGHT($K$7,10)</f>
        <v>sales.EDGAR@email.com</v>
      </c>
      <c r="L251" s="60"/>
    </row>
    <row r="252" spans="2:12" ht="15.6">
      <c r="B252" s="27">
        <v>43233</v>
      </c>
      <c r="C252" s="22" t="s">
        <v>17</v>
      </c>
      <c r="D252" s="22" t="s">
        <v>16</v>
      </c>
      <c r="E252" s="22" t="s">
        <v>19</v>
      </c>
      <c r="F252" s="22" t="s">
        <v>18</v>
      </c>
      <c r="G252" s="19">
        <v>1</v>
      </c>
      <c r="H252" s="29">
        <v>13</v>
      </c>
      <c r="I252" s="59"/>
      <c r="J252" s="59" t="str">
        <f>IF(TableSales[[#This Row],[Sales]]&gt;=70, TableSales[[#This Row],[Sales]]*0.05, "No commission")</f>
        <v>No commission</v>
      </c>
      <c r="K252" s="60" t="str">
        <f>LEFT($J$7,6)&amp;TableSales[[#This Row],[Salesperson]]&amp;RIGHT($K$7,10)</f>
        <v>sales.LAUREN@email.com</v>
      </c>
      <c r="L252" s="60"/>
    </row>
    <row r="253" spans="2:12" ht="15.6">
      <c r="B253" s="28">
        <v>43236</v>
      </c>
      <c r="C253" s="23" t="s">
        <v>24</v>
      </c>
      <c r="D253" s="23" t="s">
        <v>12</v>
      </c>
      <c r="E253" s="23" t="s">
        <v>19</v>
      </c>
      <c r="F253" s="23" t="s">
        <v>18</v>
      </c>
      <c r="G253" s="20">
        <v>2</v>
      </c>
      <c r="H253" s="30">
        <v>26</v>
      </c>
      <c r="I253" s="62"/>
      <c r="J253" s="59" t="str">
        <f>IF(TableSales[[#This Row],[Sales]]&gt;=70, TableSales[[#This Row],[Sales]]*0.05, "No commission")</f>
        <v>No commission</v>
      </c>
      <c r="K253" s="60" t="str">
        <f>LEFT($J$7,6)&amp;TableSales[[#This Row],[Salesperson]]&amp;RIGHT($K$7,10)</f>
        <v>sales.EDGAR@email.com</v>
      </c>
      <c r="L253" s="60"/>
    </row>
    <row r="254" spans="2:12" ht="15.6">
      <c r="B254" s="27">
        <v>43240</v>
      </c>
      <c r="C254" s="22" t="s">
        <v>22</v>
      </c>
      <c r="D254" s="22" t="s">
        <v>12</v>
      </c>
      <c r="E254" s="22" t="s">
        <v>25</v>
      </c>
      <c r="F254" s="22" t="s">
        <v>14</v>
      </c>
      <c r="G254" s="19">
        <v>1</v>
      </c>
      <c r="H254" s="29">
        <v>14</v>
      </c>
      <c r="I254" s="59"/>
      <c r="J254" s="59" t="str">
        <f>IF(TableSales[[#This Row],[Sales]]&gt;=70, TableSales[[#This Row],[Sales]]*0.05, "No commission")</f>
        <v>No commission</v>
      </c>
      <c r="K254" s="60" t="str">
        <f>LEFT($J$7,6)&amp;TableSales[[#This Row],[Salesperson]]&amp;RIGHT($K$7,10)</f>
        <v>sales.MARIO@email.com</v>
      </c>
      <c r="L254" s="60"/>
    </row>
    <row r="255" spans="2:12" ht="15.6">
      <c r="B255" s="28">
        <v>43241</v>
      </c>
      <c r="C255" s="23" t="s">
        <v>24</v>
      </c>
      <c r="D255" s="23" t="s">
        <v>16</v>
      </c>
      <c r="E255" s="23" t="s">
        <v>15</v>
      </c>
      <c r="F255" s="23" t="s">
        <v>10</v>
      </c>
      <c r="G255" s="20">
        <v>6</v>
      </c>
      <c r="H255" s="30">
        <v>72</v>
      </c>
      <c r="I255" s="62"/>
      <c r="J255" s="59">
        <f>IF(TableSales[[#This Row],[Sales]]&gt;=70, TableSales[[#This Row],[Sales]]*0.05, "No commission")</f>
        <v>3.6</v>
      </c>
      <c r="K255" s="60" t="str">
        <f>LEFT($J$7,6)&amp;TableSales[[#This Row],[Salesperson]]&amp;RIGHT($K$7,10)</f>
        <v>sales.EDGAR@email.com</v>
      </c>
      <c r="L255" s="60"/>
    </row>
    <row r="256" spans="2:12" ht="15.6">
      <c r="B256" s="27">
        <v>43245</v>
      </c>
      <c r="C256" s="22" t="s">
        <v>24</v>
      </c>
      <c r="D256" s="22" t="s">
        <v>16</v>
      </c>
      <c r="E256" s="22" t="s">
        <v>11</v>
      </c>
      <c r="F256" s="22" t="s">
        <v>10</v>
      </c>
      <c r="G256" s="19">
        <v>1</v>
      </c>
      <c r="H256" s="29">
        <v>11</v>
      </c>
      <c r="I256" s="59"/>
      <c r="J256" s="59" t="str">
        <f>IF(TableSales[[#This Row],[Sales]]&gt;=70, TableSales[[#This Row],[Sales]]*0.05, "No commission")</f>
        <v>No commission</v>
      </c>
      <c r="K256" s="60" t="str">
        <f>LEFT($J$7,6)&amp;TableSales[[#This Row],[Salesperson]]&amp;RIGHT($K$7,10)</f>
        <v>sales.EDGAR@email.com</v>
      </c>
      <c r="L256" s="60"/>
    </row>
    <row r="257" spans="2:12" ht="15.6">
      <c r="B257" s="28">
        <v>43247</v>
      </c>
      <c r="C257" s="23" t="s">
        <v>22</v>
      </c>
      <c r="D257" s="23" t="s">
        <v>12</v>
      </c>
      <c r="E257" s="23" t="s">
        <v>25</v>
      </c>
      <c r="F257" s="23" t="s">
        <v>10</v>
      </c>
      <c r="G257" s="20">
        <v>5</v>
      </c>
      <c r="H257" s="30">
        <v>70</v>
      </c>
      <c r="I257" s="62"/>
      <c r="J257" s="59">
        <f>IF(TableSales[[#This Row],[Sales]]&gt;=70, TableSales[[#This Row],[Sales]]*0.05, "No commission")</f>
        <v>3.5</v>
      </c>
      <c r="K257" s="60" t="str">
        <f>LEFT($J$7,6)&amp;TableSales[[#This Row],[Salesperson]]&amp;RIGHT($K$7,10)</f>
        <v>sales.MARIO@email.com</v>
      </c>
      <c r="L257" s="60"/>
    </row>
    <row r="258" spans="2:12" ht="15.6">
      <c r="B258" s="27">
        <v>43250</v>
      </c>
      <c r="C258" s="22" t="s">
        <v>13</v>
      </c>
      <c r="D258" s="22" t="s">
        <v>21</v>
      </c>
      <c r="E258" s="22" t="s">
        <v>11</v>
      </c>
      <c r="F258" s="22" t="s">
        <v>14</v>
      </c>
      <c r="G258" s="19">
        <v>7</v>
      </c>
      <c r="H258" s="29">
        <v>77</v>
      </c>
      <c r="I258" s="59"/>
      <c r="J258" s="59">
        <f>IF(TableSales[[#This Row],[Sales]]&gt;=70, TableSales[[#This Row],[Sales]]*0.05, "No commission")</f>
        <v>3.85</v>
      </c>
      <c r="K258" s="60" t="str">
        <f>LEFT($J$7,6)&amp;TableSales[[#This Row],[Salesperson]]&amp;RIGHT($K$7,10)</f>
        <v>sales.PETE@email.com</v>
      </c>
      <c r="L258" s="60"/>
    </row>
    <row r="259" spans="2:12" ht="15.6">
      <c r="B259" s="28">
        <v>43253</v>
      </c>
      <c r="C259" s="23" t="s">
        <v>24</v>
      </c>
      <c r="D259" s="23" t="s">
        <v>16</v>
      </c>
      <c r="E259" s="23" t="s">
        <v>25</v>
      </c>
      <c r="F259" s="23" t="s">
        <v>10</v>
      </c>
      <c r="G259" s="20">
        <v>7</v>
      </c>
      <c r="H259" s="30">
        <v>98</v>
      </c>
      <c r="I259" s="62"/>
      <c r="J259" s="59">
        <f>IF(TableSales[[#This Row],[Sales]]&gt;=70, TableSales[[#This Row],[Sales]]*0.05, "No commission")</f>
        <v>4.9000000000000004</v>
      </c>
      <c r="K259" s="60" t="str">
        <f>LEFT($J$7,6)&amp;TableSales[[#This Row],[Salesperson]]&amp;RIGHT($K$7,10)</f>
        <v>sales.EDGAR@email.com</v>
      </c>
      <c r="L259" s="60"/>
    </row>
    <row r="260" spans="2:12" ht="15.6">
      <c r="B260" s="27">
        <v>43254</v>
      </c>
      <c r="C260" s="22" t="s">
        <v>22</v>
      </c>
      <c r="D260" s="22" t="s">
        <v>21</v>
      </c>
      <c r="E260" s="22" t="s">
        <v>25</v>
      </c>
      <c r="F260" s="22" t="s">
        <v>10</v>
      </c>
      <c r="G260" s="19">
        <v>7</v>
      </c>
      <c r="H260" s="29">
        <v>98</v>
      </c>
      <c r="I260" s="59"/>
      <c r="J260" s="59">
        <f>IF(TableSales[[#This Row],[Sales]]&gt;=70, TableSales[[#This Row],[Sales]]*0.05, "No commission")</f>
        <v>4.9000000000000004</v>
      </c>
      <c r="K260" s="60" t="str">
        <f>LEFT($J$7,6)&amp;TableSales[[#This Row],[Salesperson]]&amp;RIGHT($K$7,10)</f>
        <v>sales.MARIO@email.com</v>
      </c>
      <c r="L260" s="60"/>
    </row>
    <row r="261" spans="2:12" ht="15.6">
      <c r="B261" s="28">
        <v>43258</v>
      </c>
      <c r="C261" s="23" t="s">
        <v>13</v>
      </c>
      <c r="D261" s="23" t="s">
        <v>16</v>
      </c>
      <c r="E261" s="23" t="s">
        <v>15</v>
      </c>
      <c r="F261" s="23" t="s">
        <v>18</v>
      </c>
      <c r="G261" s="20">
        <v>1</v>
      </c>
      <c r="H261" s="30">
        <v>12</v>
      </c>
      <c r="I261" s="62"/>
      <c r="J261" s="59" t="str">
        <f>IF(TableSales[[#This Row],[Sales]]&gt;=70, TableSales[[#This Row],[Sales]]*0.05, "No commission")</f>
        <v>No commission</v>
      </c>
      <c r="K261" s="60" t="str">
        <f>LEFT($J$7,6)&amp;TableSales[[#This Row],[Salesperson]]&amp;RIGHT($K$7,10)</f>
        <v>sales.PETE@email.com</v>
      </c>
      <c r="L261" s="60"/>
    </row>
    <row r="262" spans="2:12" ht="15.6">
      <c r="B262" s="27">
        <v>43261</v>
      </c>
      <c r="C262" s="22" t="s">
        <v>17</v>
      </c>
      <c r="D262" s="22" t="s">
        <v>21</v>
      </c>
      <c r="E262" s="22" t="s">
        <v>19</v>
      </c>
      <c r="F262" s="22" t="s">
        <v>10</v>
      </c>
      <c r="G262" s="19">
        <v>2</v>
      </c>
      <c r="H262" s="29">
        <v>26</v>
      </c>
      <c r="I262" s="59"/>
      <c r="J262" s="59" t="str">
        <f>IF(TableSales[[#This Row],[Sales]]&gt;=70, TableSales[[#This Row],[Sales]]*0.05, "No commission")</f>
        <v>No commission</v>
      </c>
      <c r="K262" s="60" t="str">
        <f>LEFT($J$7,6)&amp;TableSales[[#This Row],[Salesperson]]&amp;RIGHT($K$7,10)</f>
        <v>sales.LAUREN@email.com</v>
      </c>
      <c r="L262" s="60"/>
    </row>
    <row r="263" spans="2:12" ht="15.6">
      <c r="B263" s="28">
        <v>43264</v>
      </c>
      <c r="C263" s="23" t="s">
        <v>13</v>
      </c>
      <c r="D263" s="23" t="s">
        <v>16</v>
      </c>
      <c r="E263" s="23" t="s">
        <v>25</v>
      </c>
      <c r="F263" s="23" t="s">
        <v>14</v>
      </c>
      <c r="G263" s="20">
        <v>7</v>
      </c>
      <c r="H263" s="30">
        <v>98</v>
      </c>
      <c r="I263" s="62"/>
      <c r="J263" s="59">
        <f>IF(TableSales[[#This Row],[Sales]]&gt;=70, TableSales[[#This Row],[Sales]]*0.05, "No commission")</f>
        <v>4.9000000000000004</v>
      </c>
      <c r="K263" s="60" t="str">
        <f>LEFT($J$7,6)&amp;TableSales[[#This Row],[Salesperson]]&amp;RIGHT($K$7,10)</f>
        <v>sales.PETE@email.com</v>
      </c>
      <c r="L263" s="60"/>
    </row>
    <row r="264" spans="2:12" ht="15.6">
      <c r="B264" s="27">
        <v>43266</v>
      </c>
      <c r="C264" s="22" t="s">
        <v>13</v>
      </c>
      <c r="D264" s="22" t="s">
        <v>23</v>
      </c>
      <c r="E264" s="22" t="s">
        <v>11</v>
      </c>
      <c r="F264" s="22" t="s">
        <v>10</v>
      </c>
      <c r="G264" s="19">
        <v>2</v>
      </c>
      <c r="H264" s="29">
        <v>22</v>
      </c>
      <c r="I264" s="59"/>
      <c r="J264" s="59" t="str">
        <f>IF(TableSales[[#This Row],[Sales]]&gt;=70, TableSales[[#This Row],[Sales]]*0.05, "No commission")</f>
        <v>No commission</v>
      </c>
      <c r="K264" s="60" t="str">
        <f>LEFT($J$7,6)&amp;TableSales[[#This Row],[Salesperson]]&amp;RIGHT($K$7,10)</f>
        <v>sales.PETE@email.com</v>
      </c>
      <c r="L264" s="60"/>
    </row>
    <row r="265" spans="2:12" ht="15.6">
      <c r="B265" s="28">
        <v>43267</v>
      </c>
      <c r="C265" s="23" t="s">
        <v>24</v>
      </c>
      <c r="D265" s="23" t="s">
        <v>21</v>
      </c>
      <c r="E265" s="23" t="s">
        <v>19</v>
      </c>
      <c r="F265" s="23" t="s">
        <v>14</v>
      </c>
      <c r="G265" s="20">
        <v>5</v>
      </c>
      <c r="H265" s="30">
        <v>65</v>
      </c>
      <c r="I265" s="62"/>
      <c r="J265" s="59" t="str">
        <f>IF(TableSales[[#This Row],[Sales]]&gt;=70, TableSales[[#This Row],[Sales]]*0.05, "No commission")</f>
        <v>No commission</v>
      </c>
      <c r="K265" s="60" t="str">
        <f>LEFT($J$7,6)&amp;TableSales[[#This Row],[Salesperson]]&amp;RIGHT($K$7,10)</f>
        <v>sales.EDGAR@email.com</v>
      </c>
      <c r="L265" s="60"/>
    </row>
    <row r="266" spans="2:12" ht="15.6">
      <c r="B266" s="27">
        <v>43269</v>
      </c>
      <c r="C266" s="22" t="s">
        <v>20</v>
      </c>
      <c r="D266" s="22" t="s">
        <v>23</v>
      </c>
      <c r="E266" s="22" t="s">
        <v>25</v>
      </c>
      <c r="F266" s="22" t="s">
        <v>18</v>
      </c>
      <c r="G266" s="19">
        <v>3</v>
      </c>
      <c r="H266" s="29">
        <v>42</v>
      </c>
      <c r="I266" s="59"/>
      <c r="J266" s="59" t="str">
        <f>IF(TableSales[[#This Row],[Sales]]&gt;=70, TableSales[[#This Row],[Sales]]*0.05, "No commission")</f>
        <v>No commission</v>
      </c>
      <c r="K266" s="60" t="str">
        <f>LEFT($J$7,6)&amp;TableSales[[#This Row],[Salesperson]]&amp;RIGHT($K$7,10)</f>
        <v>sales.HARRY@email.com</v>
      </c>
      <c r="L266" s="60"/>
    </row>
    <row r="267" spans="2:12" ht="15.6">
      <c r="B267" s="28">
        <v>43272</v>
      </c>
      <c r="C267" s="23" t="s">
        <v>20</v>
      </c>
      <c r="D267" s="23" t="s">
        <v>23</v>
      </c>
      <c r="E267" s="23" t="s">
        <v>25</v>
      </c>
      <c r="F267" s="23" t="s">
        <v>14</v>
      </c>
      <c r="G267" s="20">
        <v>8</v>
      </c>
      <c r="H267" s="30">
        <v>112</v>
      </c>
      <c r="I267" s="62"/>
      <c r="J267" s="59">
        <f>IF(TableSales[[#This Row],[Sales]]&gt;=70, TableSales[[#This Row],[Sales]]*0.05, "No commission")</f>
        <v>5.6000000000000005</v>
      </c>
      <c r="K267" s="60" t="str">
        <f>LEFT($J$7,6)&amp;TableSales[[#This Row],[Salesperson]]&amp;RIGHT($K$7,10)</f>
        <v>sales.HARRY@email.com</v>
      </c>
      <c r="L267" s="60"/>
    </row>
    <row r="268" spans="2:12" ht="15.6">
      <c r="B268" s="27">
        <v>43274</v>
      </c>
      <c r="C268" s="22" t="s">
        <v>13</v>
      </c>
      <c r="D268" s="22" t="s">
        <v>12</v>
      </c>
      <c r="E268" s="22" t="s">
        <v>19</v>
      </c>
      <c r="F268" s="22" t="s">
        <v>10</v>
      </c>
      <c r="G268" s="19">
        <v>6</v>
      </c>
      <c r="H268" s="29">
        <v>78</v>
      </c>
      <c r="I268" s="59"/>
      <c r="J268" s="59">
        <f>IF(TableSales[[#This Row],[Sales]]&gt;=70, TableSales[[#This Row],[Sales]]*0.05, "No commission")</f>
        <v>3.9000000000000004</v>
      </c>
      <c r="K268" s="60" t="str">
        <f>LEFT($J$7,6)&amp;TableSales[[#This Row],[Salesperson]]&amp;RIGHT($K$7,10)</f>
        <v>sales.PETE@email.com</v>
      </c>
      <c r="L268" s="60"/>
    </row>
    <row r="269" spans="2:12" ht="15.6">
      <c r="B269" s="28">
        <v>43276</v>
      </c>
      <c r="C269" s="23" t="s">
        <v>22</v>
      </c>
      <c r="D269" s="23" t="s">
        <v>16</v>
      </c>
      <c r="E269" s="23" t="s">
        <v>25</v>
      </c>
      <c r="F269" s="23" t="s">
        <v>10</v>
      </c>
      <c r="G269" s="20">
        <v>5</v>
      </c>
      <c r="H269" s="30">
        <v>70</v>
      </c>
      <c r="I269" s="62"/>
      <c r="J269" s="59">
        <f>IF(TableSales[[#This Row],[Sales]]&gt;=70, TableSales[[#This Row],[Sales]]*0.05, "No commission")</f>
        <v>3.5</v>
      </c>
      <c r="K269" s="60" t="str">
        <f>LEFT($J$7,6)&amp;TableSales[[#This Row],[Salesperson]]&amp;RIGHT($K$7,10)</f>
        <v>sales.MARIO@email.com</v>
      </c>
      <c r="L269" s="60"/>
    </row>
    <row r="270" spans="2:12" ht="15.6">
      <c r="B270" s="27">
        <v>43277</v>
      </c>
      <c r="C270" s="22" t="s">
        <v>24</v>
      </c>
      <c r="D270" s="22" t="s">
        <v>16</v>
      </c>
      <c r="E270" s="22" t="s">
        <v>25</v>
      </c>
      <c r="F270" s="22" t="s">
        <v>10</v>
      </c>
      <c r="G270" s="19">
        <v>1</v>
      </c>
      <c r="H270" s="29">
        <v>14</v>
      </c>
      <c r="I270" s="59"/>
      <c r="J270" s="59" t="str">
        <f>IF(TableSales[[#This Row],[Sales]]&gt;=70, TableSales[[#This Row],[Sales]]*0.05, "No commission")</f>
        <v>No commission</v>
      </c>
      <c r="K270" s="60" t="str">
        <f>LEFT($J$7,6)&amp;TableSales[[#This Row],[Salesperson]]&amp;RIGHT($K$7,10)</f>
        <v>sales.EDGAR@email.com</v>
      </c>
      <c r="L270" s="60"/>
    </row>
    <row r="271" spans="2:12" ht="15.6">
      <c r="B271" s="28">
        <v>43278</v>
      </c>
      <c r="C271" s="23" t="s">
        <v>13</v>
      </c>
      <c r="D271" s="23" t="s">
        <v>12</v>
      </c>
      <c r="E271" s="23" t="s">
        <v>15</v>
      </c>
      <c r="F271" s="23" t="s">
        <v>14</v>
      </c>
      <c r="G271" s="20">
        <v>3</v>
      </c>
      <c r="H271" s="30">
        <v>36</v>
      </c>
      <c r="I271" s="62"/>
      <c r="J271" s="59" t="str">
        <f>IF(TableSales[[#This Row],[Sales]]&gt;=70, TableSales[[#This Row],[Sales]]*0.05, "No commission")</f>
        <v>No commission</v>
      </c>
      <c r="K271" s="60" t="str">
        <f>LEFT($J$7,6)&amp;TableSales[[#This Row],[Salesperson]]&amp;RIGHT($K$7,10)</f>
        <v>sales.PETE@email.com</v>
      </c>
      <c r="L271" s="60"/>
    </row>
    <row r="272" spans="2:12" ht="15.6">
      <c r="B272" s="27">
        <v>43281</v>
      </c>
      <c r="C272" s="22" t="s">
        <v>22</v>
      </c>
      <c r="D272" s="22" t="s">
        <v>23</v>
      </c>
      <c r="E272" s="22" t="s">
        <v>25</v>
      </c>
      <c r="F272" s="22" t="s">
        <v>18</v>
      </c>
      <c r="G272" s="19">
        <v>1</v>
      </c>
      <c r="H272" s="29">
        <v>14</v>
      </c>
      <c r="I272" s="59"/>
      <c r="J272" s="59" t="str">
        <f>IF(TableSales[[#This Row],[Sales]]&gt;=70, TableSales[[#This Row],[Sales]]*0.05, "No commission")</f>
        <v>No commission</v>
      </c>
      <c r="K272" s="60" t="str">
        <f>LEFT($J$7,6)&amp;TableSales[[#This Row],[Salesperson]]&amp;RIGHT($K$7,10)</f>
        <v>sales.MARIO@email.com</v>
      </c>
      <c r="L272" s="60"/>
    </row>
    <row r="273" spans="2:12" ht="15.6">
      <c r="B273" s="28">
        <v>43283</v>
      </c>
      <c r="C273" s="23" t="s">
        <v>24</v>
      </c>
      <c r="D273" s="23" t="s">
        <v>21</v>
      </c>
      <c r="E273" s="23" t="s">
        <v>15</v>
      </c>
      <c r="F273" s="23" t="s">
        <v>10</v>
      </c>
      <c r="G273" s="20">
        <v>4</v>
      </c>
      <c r="H273" s="30">
        <v>48</v>
      </c>
      <c r="I273" s="62"/>
      <c r="J273" s="59" t="str">
        <f>IF(TableSales[[#This Row],[Sales]]&gt;=70, TableSales[[#This Row],[Sales]]*0.05, "No commission")</f>
        <v>No commission</v>
      </c>
      <c r="K273" s="60" t="str">
        <f>LEFT($J$7,6)&amp;TableSales[[#This Row],[Salesperson]]&amp;RIGHT($K$7,10)</f>
        <v>sales.EDGAR@email.com</v>
      </c>
      <c r="L273" s="60"/>
    </row>
    <row r="274" spans="2:12" ht="15.6">
      <c r="B274" s="27">
        <v>43287</v>
      </c>
      <c r="C274" s="22" t="s">
        <v>17</v>
      </c>
      <c r="D274" s="22" t="s">
        <v>16</v>
      </c>
      <c r="E274" s="22" t="s">
        <v>25</v>
      </c>
      <c r="F274" s="22" t="s">
        <v>10</v>
      </c>
      <c r="G274" s="19">
        <v>6</v>
      </c>
      <c r="H274" s="29">
        <v>84</v>
      </c>
      <c r="I274" s="59"/>
      <c r="J274" s="59">
        <f>IF(TableSales[[#This Row],[Sales]]&gt;=70, TableSales[[#This Row],[Sales]]*0.05, "No commission")</f>
        <v>4.2</v>
      </c>
      <c r="K274" s="60" t="str">
        <f>LEFT($J$7,6)&amp;TableSales[[#This Row],[Salesperson]]&amp;RIGHT($K$7,10)</f>
        <v>sales.LAUREN@email.com</v>
      </c>
      <c r="L274" s="60"/>
    </row>
    <row r="275" spans="2:12" ht="15.6">
      <c r="B275" s="28">
        <v>43290</v>
      </c>
      <c r="C275" s="23" t="s">
        <v>17</v>
      </c>
      <c r="D275" s="23" t="s">
        <v>23</v>
      </c>
      <c r="E275" s="23" t="s">
        <v>11</v>
      </c>
      <c r="F275" s="23" t="s">
        <v>18</v>
      </c>
      <c r="G275" s="20">
        <v>1</v>
      </c>
      <c r="H275" s="30">
        <v>11</v>
      </c>
      <c r="I275" s="62"/>
      <c r="J275" s="59" t="str">
        <f>IF(TableSales[[#This Row],[Sales]]&gt;=70, TableSales[[#This Row],[Sales]]*0.05, "No commission")</f>
        <v>No commission</v>
      </c>
      <c r="K275" s="60" t="str">
        <f>LEFT($J$7,6)&amp;TableSales[[#This Row],[Salesperson]]&amp;RIGHT($K$7,10)</f>
        <v>sales.LAUREN@email.com</v>
      </c>
      <c r="L275" s="60"/>
    </row>
    <row r="276" spans="2:12" ht="15.6">
      <c r="B276" s="27">
        <v>43293</v>
      </c>
      <c r="C276" s="22" t="s">
        <v>13</v>
      </c>
      <c r="D276" s="22" t="s">
        <v>21</v>
      </c>
      <c r="E276" s="22" t="s">
        <v>25</v>
      </c>
      <c r="F276" s="22" t="s">
        <v>18</v>
      </c>
      <c r="G276" s="19">
        <v>4</v>
      </c>
      <c r="H276" s="29">
        <v>56</v>
      </c>
      <c r="I276" s="59"/>
      <c r="J276" s="59" t="str">
        <f>IF(TableSales[[#This Row],[Sales]]&gt;=70, TableSales[[#This Row],[Sales]]*0.05, "No commission")</f>
        <v>No commission</v>
      </c>
      <c r="K276" s="60" t="str">
        <f>LEFT($J$7,6)&amp;TableSales[[#This Row],[Salesperson]]&amp;RIGHT($K$7,10)</f>
        <v>sales.PETE@email.com</v>
      </c>
      <c r="L276" s="60"/>
    </row>
    <row r="277" spans="2:12" ht="15.6">
      <c r="B277" s="28">
        <v>43295</v>
      </c>
      <c r="C277" s="23" t="s">
        <v>24</v>
      </c>
      <c r="D277" s="23" t="s">
        <v>21</v>
      </c>
      <c r="E277" s="23" t="s">
        <v>11</v>
      </c>
      <c r="F277" s="23" t="s">
        <v>14</v>
      </c>
      <c r="G277" s="20">
        <v>3</v>
      </c>
      <c r="H277" s="30">
        <v>33</v>
      </c>
      <c r="I277" s="62"/>
      <c r="J277" s="59" t="str">
        <f>IF(TableSales[[#This Row],[Sales]]&gt;=70, TableSales[[#This Row],[Sales]]*0.05, "No commission")</f>
        <v>No commission</v>
      </c>
      <c r="K277" s="60" t="str">
        <f>LEFT($J$7,6)&amp;TableSales[[#This Row],[Salesperson]]&amp;RIGHT($K$7,10)</f>
        <v>sales.EDGAR@email.com</v>
      </c>
      <c r="L277" s="60"/>
    </row>
    <row r="278" spans="2:12" ht="15.6">
      <c r="B278" s="27">
        <v>43298</v>
      </c>
      <c r="C278" s="22" t="s">
        <v>20</v>
      </c>
      <c r="D278" s="22" t="s">
        <v>16</v>
      </c>
      <c r="E278" s="22" t="s">
        <v>11</v>
      </c>
      <c r="F278" s="22" t="s">
        <v>10</v>
      </c>
      <c r="G278" s="19">
        <v>8</v>
      </c>
      <c r="H278" s="29">
        <v>88</v>
      </c>
      <c r="I278" s="59"/>
      <c r="J278" s="59">
        <f>IF(TableSales[[#This Row],[Sales]]&gt;=70, TableSales[[#This Row],[Sales]]*0.05, "No commission")</f>
        <v>4.4000000000000004</v>
      </c>
      <c r="K278" s="60" t="str">
        <f>LEFT($J$7,6)&amp;TableSales[[#This Row],[Salesperson]]&amp;RIGHT($K$7,10)</f>
        <v>sales.HARRY@email.com</v>
      </c>
      <c r="L278" s="60"/>
    </row>
    <row r="279" spans="2:12" ht="15.6">
      <c r="B279" s="28">
        <v>43301</v>
      </c>
      <c r="C279" s="23" t="s">
        <v>13</v>
      </c>
      <c r="D279" s="23" t="s">
        <v>21</v>
      </c>
      <c r="E279" s="23" t="s">
        <v>19</v>
      </c>
      <c r="F279" s="23" t="s">
        <v>18</v>
      </c>
      <c r="G279" s="20">
        <v>4</v>
      </c>
      <c r="H279" s="30">
        <v>52</v>
      </c>
      <c r="I279" s="62"/>
      <c r="J279" s="59" t="str">
        <f>IF(TableSales[[#This Row],[Sales]]&gt;=70, TableSales[[#This Row],[Sales]]*0.05, "No commission")</f>
        <v>No commission</v>
      </c>
      <c r="K279" s="60" t="str">
        <f>LEFT($J$7,6)&amp;TableSales[[#This Row],[Salesperson]]&amp;RIGHT($K$7,10)</f>
        <v>sales.PETE@email.com</v>
      </c>
      <c r="L279" s="60"/>
    </row>
    <row r="280" spans="2:12" ht="15.6">
      <c r="B280" s="27">
        <v>43304</v>
      </c>
      <c r="C280" s="22" t="s">
        <v>22</v>
      </c>
      <c r="D280" s="22" t="s">
        <v>16</v>
      </c>
      <c r="E280" s="22" t="s">
        <v>25</v>
      </c>
      <c r="F280" s="22" t="s">
        <v>14</v>
      </c>
      <c r="G280" s="19">
        <v>6</v>
      </c>
      <c r="H280" s="29">
        <v>84</v>
      </c>
      <c r="I280" s="59"/>
      <c r="J280" s="59">
        <f>IF(TableSales[[#This Row],[Sales]]&gt;=70, TableSales[[#This Row],[Sales]]*0.05, "No commission")</f>
        <v>4.2</v>
      </c>
      <c r="K280" s="60" t="str">
        <f>LEFT($J$7,6)&amp;TableSales[[#This Row],[Salesperson]]&amp;RIGHT($K$7,10)</f>
        <v>sales.MARIO@email.com</v>
      </c>
      <c r="L280" s="60"/>
    </row>
    <row r="281" spans="2:12" ht="15.6">
      <c r="B281" s="28">
        <v>43305</v>
      </c>
      <c r="C281" s="23" t="s">
        <v>13</v>
      </c>
      <c r="D281" s="23" t="s">
        <v>21</v>
      </c>
      <c r="E281" s="23" t="s">
        <v>11</v>
      </c>
      <c r="F281" s="23" t="s">
        <v>10</v>
      </c>
      <c r="G281" s="20">
        <v>6</v>
      </c>
      <c r="H281" s="30">
        <v>66</v>
      </c>
      <c r="I281" s="62"/>
      <c r="J281" s="59" t="str">
        <f>IF(TableSales[[#This Row],[Sales]]&gt;=70, TableSales[[#This Row],[Sales]]*0.05, "No commission")</f>
        <v>No commission</v>
      </c>
      <c r="K281" s="60" t="str">
        <f>LEFT($J$7,6)&amp;TableSales[[#This Row],[Salesperson]]&amp;RIGHT($K$7,10)</f>
        <v>sales.PETE@email.com</v>
      </c>
      <c r="L281" s="60"/>
    </row>
    <row r="282" spans="2:12" ht="15.6">
      <c r="B282" s="27">
        <v>43308</v>
      </c>
      <c r="C282" s="22" t="s">
        <v>24</v>
      </c>
      <c r="D282" s="22" t="s">
        <v>23</v>
      </c>
      <c r="E282" s="22" t="s">
        <v>11</v>
      </c>
      <c r="F282" s="22" t="s">
        <v>10</v>
      </c>
      <c r="G282" s="19">
        <v>5</v>
      </c>
      <c r="H282" s="29">
        <v>55</v>
      </c>
      <c r="I282" s="59"/>
      <c r="J282" s="59" t="str">
        <f>IF(TableSales[[#This Row],[Sales]]&gt;=70, TableSales[[#This Row],[Sales]]*0.05, "No commission")</f>
        <v>No commission</v>
      </c>
      <c r="K282" s="60" t="str">
        <f>LEFT($J$7,6)&amp;TableSales[[#This Row],[Salesperson]]&amp;RIGHT($K$7,10)</f>
        <v>sales.EDGAR@email.com</v>
      </c>
      <c r="L282" s="60"/>
    </row>
    <row r="283" spans="2:12" ht="15.6">
      <c r="B283" s="28">
        <v>43312</v>
      </c>
      <c r="C283" s="23" t="s">
        <v>22</v>
      </c>
      <c r="D283" s="23" t="s">
        <v>12</v>
      </c>
      <c r="E283" s="23" t="s">
        <v>25</v>
      </c>
      <c r="F283" s="23" t="s">
        <v>18</v>
      </c>
      <c r="G283" s="20">
        <v>1</v>
      </c>
      <c r="H283" s="30">
        <v>14</v>
      </c>
      <c r="I283" s="62"/>
      <c r="J283" s="59" t="str">
        <f>IF(TableSales[[#This Row],[Sales]]&gt;=70, TableSales[[#This Row],[Sales]]*0.05, "No commission")</f>
        <v>No commission</v>
      </c>
      <c r="K283" s="60" t="str">
        <f>LEFT($J$7,6)&amp;TableSales[[#This Row],[Salesperson]]&amp;RIGHT($K$7,10)</f>
        <v>sales.MARIO@email.com</v>
      </c>
      <c r="L283" s="60"/>
    </row>
    <row r="284" spans="2:12" ht="15.6">
      <c r="B284" s="27">
        <v>43315</v>
      </c>
      <c r="C284" s="22" t="s">
        <v>22</v>
      </c>
      <c r="D284" s="22" t="s">
        <v>21</v>
      </c>
      <c r="E284" s="22" t="s">
        <v>11</v>
      </c>
      <c r="F284" s="22" t="s">
        <v>10</v>
      </c>
      <c r="G284" s="19">
        <v>3</v>
      </c>
      <c r="H284" s="29">
        <v>36</v>
      </c>
      <c r="I284" s="59"/>
      <c r="J284" s="59" t="str">
        <f>IF(TableSales[[#This Row],[Sales]]&gt;=70, TableSales[[#This Row],[Sales]]*0.05, "No commission")</f>
        <v>No commission</v>
      </c>
      <c r="K284" s="60" t="str">
        <f>LEFT($J$7,6)&amp;TableSales[[#This Row],[Salesperson]]&amp;RIGHT($K$7,10)</f>
        <v>sales.MARIO@email.com</v>
      </c>
      <c r="L284" s="60"/>
    </row>
    <row r="285" spans="2:12" ht="15.6">
      <c r="B285" s="28">
        <v>43317</v>
      </c>
      <c r="C285" s="23" t="s">
        <v>24</v>
      </c>
      <c r="D285" s="23" t="s">
        <v>12</v>
      </c>
      <c r="E285" s="23" t="s">
        <v>25</v>
      </c>
      <c r="F285" s="23" t="s">
        <v>14</v>
      </c>
      <c r="G285" s="20">
        <v>3</v>
      </c>
      <c r="H285" s="30">
        <v>45</v>
      </c>
      <c r="I285" s="62"/>
      <c r="J285" s="59" t="str">
        <f>IF(TableSales[[#This Row],[Sales]]&gt;=70, TableSales[[#This Row],[Sales]]*0.05, "No commission")</f>
        <v>No commission</v>
      </c>
      <c r="K285" s="60" t="str">
        <f>LEFT($J$7,6)&amp;TableSales[[#This Row],[Salesperson]]&amp;RIGHT($K$7,10)</f>
        <v>sales.EDGAR@email.com</v>
      </c>
      <c r="L285" s="60"/>
    </row>
    <row r="286" spans="2:12" ht="15.6">
      <c r="B286" s="27">
        <v>43320</v>
      </c>
      <c r="C286" s="22" t="s">
        <v>20</v>
      </c>
      <c r="D286" s="22" t="s">
        <v>23</v>
      </c>
      <c r="E286" s="22" t="s">
        <v>25</v>
      </c>
      <c r="F286" s="22" t="s">
        <v>18</v>
      </c>
      <c r="G286" s="19">
        <v>3</v>
      </c>
      <c r="H286" s="29">
        <v>45</v>
      </c>
      <c r="I286" s="59"/>
      <c r="J286" s="59" t="str">
        <f>IF(TableSales[[#This Row],[Sales]]&gt;=70, TableSales[[#This Row],[Sales]]*0.05, "No commission")</f>
        <v>No commission</v>
      </c>
      <c r="K286" s="60" t="str">
        <f>LEFT($J$7,6)&amp;TableSales[[#This Row],[Salesperson]]&amp;RIGHT($K$7,10)</f>
        <v>sales.HARRY@email.com</v>
      </c>
      <c r="L286" s="60"/>
    </row>
    <row r="287" spans="2:12" ht="15.6">
      <c r="B287" s="28">
        <v>43322</v>
      </c>
      <c r="C287" s="23" t="s">
        <v>20</v>
      </c>
      <c r="D287" s="23" t="s">
        <v>16</v>
      </c>
      <c r="E287" s="23" t="s">
        <v>11</v>
      </c>
      <c r="F287" s="23" t="s">
        <v>14</v>
      </c>
      <c r="G287" s="20">
        <v>5</v>
      </c>
      <c r="H287" s="30">
        <v>60</v>
      </c>
      <c r="I287" s="62"/>
      <c r="J287" s="59" t="str">
        <f>IF(TableSales[[#This Row],[Sales]]&gt;=70, TableSales[[#This Row],[Sales]]*0.05, "No commission")</f>
        <v>No commission</v>
      </c>
      <c r="K287" s="60" t="str">
        <f>LEFT($J$7,6)&amp;TableSales[[#This Row],[Salesperson]]&amp;RIGHT($K$7,10)</f>
        <v>sales.HARRY@email.com</v>
      </c>
      <c r="L287" s="60"/>
    </row>
    <row r="288" spans="2:12" ht="15.6">
      <c r="B288" s="27">
        <v>43325</v>
      </c>
      <c r="C288" s="22" t="s">
        <v>17</v>
      </c>
      <c r="D288" s="22" t="s">
        <v>12</v>
      </c>
      <c r="E288" s="22" t="s">
        <v>11</v>
      </c>
      <c r="F288" s="22" t="s">
        <v>10</v>
      </c>
      <c r="G288" s="19">
        <v>2</v>
      </c>
      <c r="H288" s="29">
        <v>24</v>
      </c>
      <c r="I288" s="59"/>
      <c r="J288" s="59" t="str">
        <f>IF(TableSales[[#This Row],[Sales]]&gt;=70, TableSales[[#This Row],[Sales]]*0.05, "No commission")</f>
        <v>No commission</v>
      </c>
      <c r="K288" s="60" t="str">
        <f>LEFT($J$7,6)&amp;TableSales[[#This Row],[Salesperson]]&amp;RIGHT($K$7,10)</f>
        <v>sales.LAUREN@email.com</v>
      </c>
      <c r="L288" s="60"/>
    </row>
    <row r="289" spans="2:12" ht="15.6">
      <c r="B289" s="28">
        <v>43327</v>
      </c>
      <c r="C289" s="23" t="s">
        <v>17</v>
      </c>
      <c r="D289" s="23" t="s">
        <v>12</v>
      </c>
      <c r="E289" s="23" t="s">
        <v>11</v>
      </c>
      <c r="F289" s="23" t="s">
        <v>14</v>
      </c>
      <c r="G289" s="20">
        <v>3</v>
      </c>
      <c r="H289" s="30">
        <v>36</v>
      </c>
      <c r="I289" s="62"/>
      <c r="J289" s="59" t="str">
        <f>IF(TableSales[[#This Row],[Sales]]&gt;=70, TableSales[[#This Row],[Sales]]*0.05, "No commission")</f>
        <v>No commission</v>
      </c>
      <c r="K289" s="60" t="str">
        <f>LEFT($J$7,6)&amp;TableSales[[#This Row],[Salesperson]]&amp;RIGHT($K$7,10)</f>
        <v>sales.LAUREN@email.com</v>
      </c>
      <c r="L289" s="60"/>
    </row>
    <row r="290" spans="2:12" ht="15.6">
      <c r="B290" s="27">
        <v>43330</v>
      </c>
      <c r="C290" s="22" t="s">
        <v>24</v>
      </c>
      <c r="D290" s="22" t="s">
        <v>21</v>
      </c>
      <c r="E290" s="22" t="s">
        <v>15</v>
      </c>
      <c r="F290" s="22" t="s">
        <v>10</v>
      </c>
      <c r="G290" s="19">
        <v>6</v>
      </c>
      <c r="H290" s="29">
        <v>78</v>
      </c>
      <c r="I290" s="59"/>
      <c r="J290" s="59">
        <f>IF(TableSales[[#This Row],[Sales]]&gt;=70, TableSales[[#This Row],[Sales]]*0.05, "No commission")</f>
        <v>3.9000000000000004</v>
      </c>
      <c r="K290" s="60" t="str">
        <f>LEFT($J$7,6)&amp;TableSales[[#This Row],[Salesperson]]&amp;RIGHT($K$7,10)</f>
        <v>sales.EDGAR@email.com</v>
      </c>
      <c r="L290" s="60"/>
    </row>
    <row r="291" spans="2:12" ht="15.6">
      <c r="B291" s="28">
        <v>43332</v>
      </c>
      <c r="C291" s="23" t="s">
        <v>22</v>
      </c>
      <c r="D291" s="23" t="s">
        <v>21</v>
      </c>
      <c r="E291" s="23" t="s">
        <v>15</v>
      </c>
      <c r="F291" s="23" t="s">
        <v>14</v>
      </c>
      <c r="G291" s="20">
        <v>7</v>
      </c>
      <c r="H291" s="30">
        <v>91</v>
      </c>
      <c r="I291" s="62"/>
      <c r="J291" s="59">
        <f>IF(TableSales[[#This Row],[Sales]]&gt;=70, TableSales[[#This Row],[Sales]]*0.05, "No commission")</f>
        <v>4.55</v>
      </c>
      <c r="K291" s="60" t="str">
        <f>LEFT($J$7,6)&amp;TableSales[[#This Row],[Salesperson]]&amp;RIGHT($K$7,10)</f>
        <v>sales.MARIO@email.com</v>
      </c>
      <c r="L291" s="60"/>
    </row>
    <row r="292" spans="2:12" ht="15.6">
      <c r="B292" s="27">
        <v>43333</v>
      </c>
      <c r="C292" s="22" t="s">
        <v>20</v>
      </c>
      <c r="D292" s="22" t="s">
        <v>21</v>
      </c>
      <c r="E292" s="22" t="s">
        <v>25</v>
      </c>
      <c r="F292" s="22" t="s">
        <v>10</v>
      </c>
      <c r="G292" s="19">
        <v>2</v>
      </c>
      <c r="H292" s="29">
        <v>30</v>
      </c>
      <c r="I292" s="59"/>
      <c r="J292" s="59" t="str">
        <f>IF(TableSales[[#This Row],[Sales]]&gt;=70, TableSales[[#This Row],[Sales]]*0.05, "No commission")</f>
        <v>No commission</v>
      </c>
      <c r="K292" s="60" t="str">
        <f>LEFT($J$7,6)&amp;TableSales[[#This Row],[Salesperson]]&amp;RIGHT($K$7,10)</f>
        <v>sales.HARRY@email.com</v>
      </c>
      <c r="L292" s="60"/>
    </row>
    <row r="293" spans="2:12" ht="15.6">
      <c r="B293" s="28">
        <v>43336</v>
      </c>
      <c r="C293" s="23" t="s">
        <v>17</v>
      </c>
      <c r="D293" s="23" t="s">
        <v>12</v>
      </c>
      <c r="E293" s="23" t="s">
        <v>25</v>
      </c>
      <c r="F293" s="23" t="s">
        <v>14</v>
      </c>
      <c r="G293" s="20">
        <v>7</v>
      </c>
      <c r="H293" s="30">
        <v>105</v>
      </c>
      <c r="I293" s="62"/>
      <c r="J293" s="59">
        <f>IF(TableSales[[#This Row],[Sales]]&gt;=70, TableSales[[#This Row],[Sales]]*0.05, "No commission")</f>
        <v>5.25</v>
      </c>
      <c r="K293" s="60" t="str">
        <f>LEFT($J$7,6)&amp;TableSales[[#This Row],[Salesperson]]&amp;RIGHT($K$7,10)</f>
        <v>sales.LAUREN@email.com</v>
      </c>
      <c r="L293" s="60"/>
    </row>
    <row r="294" spans="2:12" ht="15.6">
      <c r="B294" s="27">
        <v>43339</v>
      </c>
      <c r="C294" s="22" t="s">
        <v>13</v>
      </c>
      <c r="D294" s="22" t="s">
        <v>12</v>
      </c>
      <c r="E294" s="22" t="s">
        <v>25</v>
      </c>
      <c r="F294" s="22" t="s">
        <v>18</v>
      </c>
      <c r="G294" s="19">
        <v>7</v>
      </c>
      <c r="H294" s="29">
        <v>105</v>
      </c>
      <c r="I294" s="59"/>
      <c r="J294" s="59">
        <f>IF(TableSales[[#This Row],[Sales]]&gt;=70, TableSales[[#This Row],[Sales]]*0.05, "No commission")</f>
        <v>5.25</v>
      </c>
      <c r="K294" s="60" t="str">
        <f>LEFT($J$7,6)&amp;TableSales[[#This Row],[Salesperson]]&amp;RIGHT($K$7,10)</f>
        <v>sales.PETE@email.com</v>
      </c>
      <c r="L294" s="60"/>
    </row>
    <row r="295" spans="2:12" ht="15.6">
      <c r="B295" s="28">
        <v>43342</v>
      </c>
      <c r="C295" s="23" t="s">
        <v>20</v>
      </c>
      <c r="D295" s="23" t="s">
        <v>21</v>
      </c>
      <c r="E295" s="23" t="s">
        <v>11</v>
      </c>
      <c r="F295" s="23" t="s">
        <v>10</v>
      </c>
      <c r="G295" s="20">
        <v>1</v>
      </c>
      <c r="H295" s="30">
        <v>12</v>
      </c>
      <c r="I295" s="62"/>
      <c r="J295" s="59" t="str">
        <f>IF(TableSales[[#This Row],[Sales]]&gt;=70, TableSales[[#This Row],[Sales]]*0.05, "No commission")</f>
        <v>No commission</v>
      </c>
      <c r="K295" s="60" t="str">
        <f>LEFT($J$7,6)&amp;TableSales[[#This Row],[Salesperson]]&amp;RIGHT($K$7,10)</f>
        <v>sales.HARRY@email.com</v>
      </c>
      <c r="L295" s="60"/>
    </row>
    <row r="296" spans="2:12" ht="15.6">
      <c r="B296" s="27">
        <v>43345</v>
      </c>
      <c r="C296" s="22" t="s">
        <v>17</v>
      </c>
      <c r="D296" s="22" t="s">
        <v>16</v>
      </c>
      <c r="E296" s="22" t="s">
        <v>11</v>
      </c>
      <c r="F296" s="22" t="s">
        <v>10</v>
      </c>
      <c r="G296" s="19">
        <v>7</v>
      </c>
      <c r="H296" s="29">
        <v>84</v>
      </c>
      <c r="I296" s="59"/>
      <c r="J296" s="59">
        <f>IF(TableSales[[#This Row],[Sales]]&gt;=70, TableSales[[#This Row],[Sales]]*0.05, "No commission")</f>
        <v>4.2</v>
      </c>
      <c r="K296" s="60" t="str">
        <f>LEFT($J$7,6)&amp;TableSales[[#This Row],[Salesperson]]&amp;RIGHT($K$7,10)</f>
        <v>sales.LAUREN@email.com</v>
      </c>
      <c r="L296" s="60"/>
    </row>
    <row r="297" spans="2:12" ht="15.6">
      <c r="B297" s="28">
        <v>43349</v>
      </c>
      <c r="C297" s="23" t="s">
        <v>13</v>
      </c>
      <c r="D297" s="23" t="s">
        <v>21</v>
      </c>
      <c r="E297" s="23" t="s">
        <v>15</v>
      </c>
      <c r="F297" s="23" t="s">
        <v>14</v>
      </c>
      <c r="G297" s="20">
        <v>4</v>
      </c>
      <c r="H297" s="30">
        <v>52</v>
      </c>
      <c r="I297" s="62"/>
      <c r="J297" s="59" t="str">
        <f>IF(TableSales[[#This Row],[Sales]]&gt;=70, TableSales[[#This Row],[Sales]]*0.05, "No commission")</f>
        <v>No commission</v>
      </c>
      <c r="K297" s="60" t="str">
        <f>LEFT($J$7,6)&amp;TableSales[[#This Row],[Salesperson]]&amp;RIGHT($K$7,10)</f>
        <v>sales.PETE@email.com</v>
      </c>
      <c r="L297" s="60"/>
    </row>
    <row r="298" spans="2:12" ht="15.6">
      <c r="B298" s="27">
        <v>43350</v>
      </c>
      <c r="C298" s="22" t="s">
        <v>13</v>
      </c>
      <c r="D298" s="22" t="s">
        <v>21</v>
      </c>
      <c r="E298" s="22" t="s">
        <v>25</v>
      </c>
      <c r="F298" s="22" t="s">
        <v>10</v>
      </c>
      <c r="G298" s="19">
        <v>7</v>
      </c>
      <c r="H298" s="29">
        <v>105</v>
      </c>
      <c r="I298" s="59"/>
      <c r="J298" s="59">
        <f>IF(TableSales[[#This Row],[Sales]]&gt;=70, TableSales[[#This Row],[Sales]]*0.05, "No commission")</f>
        <v>5.25</v>
      </c>
      <c r="K298" s="60" t="str">
        <f>LEFT($J$7,6)&amp;TableSales[[#This Row],[Salesperson]]&amp;RIGHT($K$7,10)</f>
        <v>sales.PETE@email.com</v>
      </c>
      <c r="L298" s="60"/>
    </row>
    <row r="299" spans="2:12" ht="15.6">
      <c r="B299" s="28">
        <v>43353</v>
      </c>
      <c r="C299" s="23" t="s">
        <v>22</v>
      </c>
      <c r="D299" s="23" t="s">
        <v>23</v>
      </c>
      <c r="E299" s="23" t="s">
        <v>11</v>
      </c>
      <c r="F299" s="23" t="s">
        <v>10</v>
      </c>
      <c r="G299" s="20">
        <v>7</v>
      </c>
      <c r="H299" s="30">
        <v>84</v>
      </c>
      <c r="I299" s="62"/>
      <c r="J299" s="59">
        <f>IF(TableSales[[#This Row],[Sales]]&gt;=70, TableSales[[#This Row],[Sales]]*0.05, "No commission")</f>
        <v>4.2</v>
      </c>
      <c r="K299" s="60" t="str">
        <f>LEFT($J$7,6)&amp;TableSales[[#This Row],[Salesperson]]&amp;RIGHT($K$7,10)</f>
        <v>sales.MARIO@email.com</v>
      </c>
      <c r="L299" s="60"/>
    </row>
    <row r="300" spans="2:12" ht="15.6">
      <c r="B300" s="27">
        <v>43356</v>
      </c>
      <c r="C300" s="22" t="s">
        <v>20</v>
      </c>
      <c r="D300" s="22" t="s">
        <v>12</v>
      </c>
      <c r="E300" s="22" t="s">
        <v>11</v>
      </c>
      <c r="F300" s="22" t="s">
        <v>18</v>
      </c>
      <c r="G300" s="19">
        <v>4</v>
      </c>
      <c r="H300" s="29">
        <v>48</v>
      </c>
      <c r="I300" s="59"/>
      <c r="J300" s="59" t="str">
        <f>IF(TableSales[[#This Row],[Sales]]&gt;=70, TableSales[[#This Row],[Sales]]*0.05, "No commission")</f>
        <v>No commission</v>
      </c>
      <c r="K300" s="60" t="str">
        <f>LEFT($J$7,6)&amp;TableSales[[#This Row],[Salesperson]]&amp;RIGHT($K$7,10)</f>
        <v>sales.HARRY@email.com</v>
      </c>
      <c r="L300" s="60"/>
    </row>
    <row r="301" spans="2:12" ht="15.6">
      <c r="B301" s="28">
        <v>43357</v>
      </c>
      <c r="C301" s="23" t="s">
        <v>20</v>
      </c>
      <c r="D301" s="23" t="s">
        <v>21</v>
      </c>
      <c r="E301" s="23" t="s">
        <v>15</v>
      </c>
      <c r="F301" s="23" t="s">
        <v>10</v>
      </c>
      <c r="G301" s="20">
        <v>8</v>
      </c>
      <c r="H301" s="30">
        <v>104</v>
      </c>
      <c r="I301" s="62"/>
      <c r="J301" s="59">
        <f>IF(TableSales[[#This Row],[Sales]]&gt;=70, TableSales[[#This Row],[Sales]]*0.05, "No commission")</f>
        <v>5.2</v>
      </c>
      <c r="K301" s="60" t="str">
        <f>LEFT($J$7,6)&amp;TableSales[[#This Row],[Salesperson]]&amp;RIGHT($K$7,10)</f>
        <v>sales.HARRY@email.com</v>
      </c>
      <c r="L301" s="60"/>
    </row>
    <row r="302" spans="2:12" ht="15.6">
      <c r="B302" s="27">
        <v>43360</v>
      </c>
      <c r="C302" s="22" t="s">
        <v>24</v>
      </c>
      <c r="D302" s="22" t="s">
        <v>16</v>
      </c>
      <c r="E302" s="22" t="s">
        <v>25</v>
      </c>
      <c r="F302" s="22" t="s">
        <v>14</v>
      </c>
      <c r="G302" s="19">
        <v>8</v>
      </c>
      <c r="H302" s="29">
        <v>120</v>
      </c>
      <c r="I302" s="59"/>
      <c r="J302" s="59">
        <f>IF(TableSales[[#This Row],[Sales]]&gt;=70, TableSales[[#This Row],[Sales]]*0.05, "No commission")</f>
        <v>6</v>
      </c>
      <c r="K302" s="60" t="str">
        <f>LEFT($J$7,6)&amp;TableSales[[#This Row],[Salesperson]]&amp;RIGHT($K$7,10)</f>
        <v>sales.EDGAR@email.com</v>
      </c>
      <c r="L302" s="60"/>
    </row>
    <row r="303" spans="2:12" ht="15.6">
      <c r="B303" s="28">
        <v>43364</v>
      </c>
      <c r="C303" s="23" t="s">
        <v>24</v>
      </c>
      <c r="D303" s="23" t="s">
        <v>21</v>
      </c>
      <c r="E303" s="23" t="s">
        <v>11</v>
      </c>
      <c r="F303" s="23" t="s">
        <v>10</v>
      </c>
      <c r="G303" s="20">
        <v>5</v>
      </c>
      <c r="H303" s="30">
        <v>60</v>
      </c>
      <c r="I303" s="62"/>
      <c r="J303" s="59" t="str">
        <f>IF(TableSales[[#This Row],[Sales]]&gt;=70, TableSales[[#This Row],[Sales]]*0.05, "No commission")</f>
        <v>No commission</v>
      </c>
      <c r="K303" s="60" t="str">
        <f>LEFT($J$7,6)&amp;TableSales[[#This Row],[Salesperson]]&amp;RIGHT($K$7,10)</f>
        <v>sales.EDGAR@email.com</v>
      </c>
      <c r="L303" s="60"/>
    </row>
    <row r="304" spans="2:12" ht="15.6">
      <c r="B304" s="27">
        <v>43368</v>
      </c>
      <c r="C304" s="22" t="s">
        <v>13</v>
      </c>
      <c r="D304" s="22" t="s">
        <v>16</v>
      </c>
      <c r="E304" s="22" t="s">
        <v>25</v>
      </c>
      <c r="F304" s="22" t="s">
        <v>14</v>
      </c>
      <c r="G304" s="19">
        <v>3</v>
      </c>
      <c r="H304" s="29">
        <v>45</v>
      </c>
      <c r="I304" s="59"/>
      <c r="J304" s="59" t="str">
        <f>IF(TableSales[[#This Row],[Sales]]&gt;=70, TableSales[[#This Row],[Sales]]*0.05, "No commission")</f>
        <v>No commission</v>
      </c>
      <c r="K304" s="60" t="str">
        <f>LEFT($J$7,6)&amp;TableSales[[#This Row],[Salesperson]]&amp;RIGHT($K$7,10)</f>
        <v>sales.PETE@email.com</v>
      </c>
      <c r="L304" s="60"/>
    </row>
    <row r="305" spans="2:12" ht="15.6">
      <c r="B305" s="28">
        <v>43372</v>
      </c>
      <c r="C305" s="23" t="s">
        <v>20</v>
      </c>
      <c r="D305" s="23" t="s">
        <v>12</v>
      </c>
      <c r="E305" s="23" t="s">
        <v>19</v>
      </c>
      <c r="F305" s="23" t="s">
        <v>10</v>
      </c>
      <c r="G305" s="20">
        <v>2</v>
      </c>
      <c r="H305" s="30">
        <v>28</v>
      </c>
      <c r="I305" s="62"/>
      <c r="J305" s="59" t="str">
        <f>IF(TableSales[[#This Row],[Sales]]&gt;=70, TableSales[[#This Row],[Sales]]*0.05, "No commission")</f>
        <v>No commission</v>
      </c>
      <c r="K305" s="60" t="str">
        <f>LEFT($J$7,6)&amp;TableSales[[#This Row],[Salesperson]]&amp;RIGHT($K$7,10)</f>
        <v>sales.HARRY@email.com</v>
      </c>
      <c r="L305" s="60"/>
    </row>
    <row r="306" spans="2:12" ht="15.6">
      <c r="B306" s="27">
        <v>43376</v>
      </c>
      <c r="C306" s="22" t="s">
        <v>22</v>
      </c>
      <c r="D306" s="22" t="s">
        <v>21</v>
      </c>
      <c r="E306" s="22" t="s">
        <v>25</v>
      </c>
      <c r="F306" s="22" t="s">
        <v>18</v>
      </c>
      <c r="G306" s="19">
        <v>5</v>
      </c>
      <c r="H306" s="29">
        <v>75</v>
      </c>
      <c r="I306" s="59"/>
      <c r="J306" s="59">
        <f>IF(TableSales[[#This Row],[Sales]]&gt;=70, TableSales[[#This Row],[Sales]]*0.05, "No commission")</f>
        <v>3.75</v>
      </c>
      <c r="K306" s="60" t="str">
        <f>LEFT($J$7,6)&amp;TableSales[[#This Row],[Salesperson]]&amp;RIGHT($K$7,10)</f>
        <v>sales.MARIO@email.com</v>
      </c>
      <c r="L306" s="60"/>
    </row>
    <row r="307" spans="2:12" ht="15.6">
      <c r="B307" s="28">
        <v>43378</v>
      </c>
      <c r="C307" s="23" t="s">
        <v>24</v>
      </c>
      <c r="D307" s="23" t="s">
        <v>12</v>
      </c>
      <c r="E307" s="23" t="s">
        <v>11</v>
      </c>
      <c r="F307" s="23" t="s">
        <v>10</v>
      </c>
      <c r="G307" s="20">
        <v>5</v>
      </c>
      <c r="H307" s="30">
        <v>60</v>
      </c>
      <c r="I307" s="62"/>
      <c r="J307" s="59" t="str">
        <f>IF(TableSales[[#This Row],[Sales]]&gt;=70, TableSales[[#This Row],[Sales]]*0.05, "No commission")</f>
        <v>No commission</v>
      </c>
      <c r="K307" s="60" t="str">
        <f>LEFT($J$7,6)&amp;TableSales[[#This Row],[Salesperson]]&amp;RIGHT($K$7,10)</f>
        <v>sales.EDGAR@email.com</v>
      </c>
      <c r="L307" s="60"/>
    </row>
    <row r="308" spans="2:12" ht="15.6">
      <c r="B308" s="27">
        <v>43380</v>
      </c>
      <c r="C308" s="22" t="s">
        <v>13</v>
      </c>
      <c r="D308" s="22" t="s">
        <v>21</v>
      </c>
      <c r="E308" s="22" t="s">
        <v>19</v>
      </c>
      <c r="F308" s="22" t="s">
        <v>18</v>
      </c>
      <c r="G308" s="19">
        <v>7</v>
      </c>
      <c r="H308" s="29">
        <v>98</v>
      </c>
      <c r="I308" s="59"/>
      <c r="J308" s="59">
        <f>IF(TableSales[[#This Row],[Sales]]&gt;=70, TableSales[[#This Row],[Sales]]*0.05, "No commission")</f>
        <v>4.9000000000000004</v>
      </c>
      <c r="K308" s="60" t="str">
        <f>LEFT($J$7,6)&amp;TableSales[[#This Row],[Salesperson]]&amp;RIGHT($K$7,10)</f>
        <v>sales.PETE@email.com</v>
      </c>
      <c r="L308" s="60"/>
    </row>
    <row r="309" spans="2:12" ht="15.6">
      <c r="B309" s="28">
        <v>43384</v>
      </c>
      <c r="C309" s="23" t="s">
        <v>17</v>
      </c>
      <c r="D309" s="23" t="s">
        <v>21</v>
      </c>
      <c r="E309" s="23" t="s">
        <v>11</v>
      </c>
      <c r="F309" s="23" t="s">
        <v>10</v>
      </c>
      <c r="G309" s="20">
        <v>8</v>
      </c>
      <c r="H309" s="30">
        <v>96</v>
      </c>
      <c r="I309" s="62"/>
      <c r="J309" s="59">
        <f>IF(TableSales[[#This Row],[Sales]]&gt;=70, TableSales[[#This Row],[Sales]]*0.05, "No commission")</f>
        <v>4.8000000000000007</v>
      </c>
      <c r="K309" s="60" t="str">
        <f>LEFT($J$7,6)&amp;TableSales[[#This Row],[Salesperson]]&amp;RIGHT($K$7,10)</f>
        <v>sales.LAUREN@email.com</v>
      </c>
      <c r="L309" s="60"/>
    </row>
    <row r="310" spans="2:12" ht="15.6">
      <c r="B310" s="27">
        <v>43386</v>
      </c>
      <c r="C310" s="22" t="s">
        <v>22</v>
      </c>
      <c r="D310" s="22" t="s">
        <v>16</v>
      </c>
      <c r="E310" s="22" t="s">
        <v>15</v>
      </c>
      <c r="F310" s="22" t="s">
        <v>18</v>
      </c>
      <c r="G310" s="19">
        <v>1</v>
      </c>
      <c r="H310" s="29">
        <v>13</v>
      </c>
      <c r="I310" s="59"/>
      <c r="J310" s="59" t="str">
        <f>IF(TableSales[[#This Row],[Sales]]&gt;=70, TableSales[[#This Row],[Sales]]*0.05, "No commission")</f>
        <v>No commission</v>
      </c>
      <c r="K310" s="60" t="str">
        <f>LEFT($J$7,6)&amp;TableSales[[#This Row],[Salesperson]]&amp;RIGHT($K$7,10)</f>
        <v>sales.MARIO@email.com</v>
      </c>
      <c r="L310" s="60"/>
    </row>
    <row r="311" spans="2:12" ht="15.6">
      <c r="B311" s="28">
        <v>43389</v>
      </c>
      <c r="C311" s="23" t="s">
        <v>13</v>
      </c>
      <c r="D311" s="23" t="s">
        <v>12</v>
      </c>
      <c r="E311" s="23" t="s">
        <v>19</v>
      </c>
      <c r="F311" s="23" t="s">
        <v>14</v>
      </c>
      <c r="G311" s="20">
        <v>5</v>
      </c>
      <c r="H311" s="30">
        <v>70</v>
      </c>
      <c r="I311" s="62"/>
      <c r="J311" s="59">
        <f>IF(TableSales[[#This Row],[Sales]]&gt;=70, TableSales[[#This Row],[Sales]]*0.05, "No commission")</f>
        <v>3.5</v>
      </c>
      <c r="K311" s="60" t="str">
        <f>LEFT($J$7,6)&amp;TableSales[[#This Row],[Salesperson]]&amp;RIGHT($K$7,10)</f>
        <v>sales.PETE@email.com</v>
      </c>
      <c r="L311" s="60"/>
    </row>
    <row r="312" spans="2:12" ht="15.6">
      <c r="B312" s="27">
        <v>43392</v>
      </c>
      <c r="C312" s="22" t="s">
        <v>22</v>
      </c>
      <c r="D312" s="22" t="s">
        <v>21</v>
      </c>
      <c r="E312" s="22" t="s">
        <v>25</v>
      </c>
      <c r="F312" s="22" t="s">
        <v>14</v>
      </c>
      <c r="G312" s="19">
        <v>7</v>
      </c>
      <c r="H312" s="29">
        <v>105</v>
      </c>
      <c r="I312" s="59"/>
      <c r="J312" s="59">
        <f>IF(TableSales[[#This Row],[Sales]]&gt;=70, TableSales[[#This Row],[Sales]]*0.05, "No commission")</f>
        <v>5.25</v>
      </c>
      <c r="K312" s="60" t="str">
        <f>LEFT($J$7,6)&amp;TableSales[[#This Row],[Salesperson]]&amp;RIGHT($K$7,10)</f>
        <v>sales.MARIO@email.com</v>
      </c>
      <c r="L312" s="60"/>
    </row>
    <row r="313" spans="2:12" ht="15.6">
      <c r="B313" s="28">
        <v>43394</v>
      </c>
      <c r="C313" s="23" t="s">
        <v>24</v>
      </c>
      <c r="D313" s="23" t="s">
        <v>21</v>
      </c>
      <c r="E313" s="23" t="s">
        <v>25</v>
      </c>
      <c r="F313" s="23" t="s">
        <v>18</v>
      </c>
      <c r="G313" s="20">
        <v>7</v>
      </c>
      <c r="H313" s="30">
        <v>105</v>
      </c>
      <c r="I313" s="62"/>
      <c r="J313" s="59">
        <f>IF(TableSales[[#This Row],[Sales]]&gt;=70, TableSales[[#This Row],[Sales]]*0.05, "No commission")</f>
        <v>5.25</v>
      </c>
      <c r="K313" s="60" t="str">
        <f>LEFT($J$7,6)&amp;TableSales[[#This Row],[Salesperson]]&amp;RIGHT($K$7,10)</f>
        <v>sales.EDGAR@email.com</v>
      </c>
      <c r="L313" s="60"/>
    </row>
    <row r="314" spans="2:12" ht="15.6">
      <c r="B314" s="27">
        <v>43395</v>
      </c>
      <c r="C314" s="22" t="s">
        <v>17</v>
      </c>
      <c r="D314" s="22" t="s">
        <v>21</v>
      </c>
      <c r="E314" s="22" t="s">
        <v>15</v>
      </c>
      <c r="F314" s="22" t="s">
        <v>10</v>
      </c>
      <c r="G314" s="19">
        <v>4</v>
      </c>
      <c r="H314" s="29">
        <v>52</v>
      </c>
      <c r="I314" s="59"/>
      <c r="J314" s="59" t="str">
        <f>IF(TableSales[[#This Row],[Sales]]&gt;=70, TableSales[[#This Row],[Sales]]*0.05, "No commission")</f>
        <v>No commission</v>
      </c>
      <c r="K314" s="60" t="str">
        <f>LEFT($J$7,6)&amp;TableSales[[#This Row],[Salesperson]]&amp;RIGHT($K$7,10)</f>
        <v>sales.LAUREN@email.com</v>
      </c>
      <c r="L314" s="60"/>
    </row>
    <row r="315" spans="2:12" ht="15.6">
      <c r="B315" s="28">
        <v>43397</v>
      </c>
      <c r="C315" s="23" t="s">
        <v>20</v>
      </c>
      <c r="D315" s="23" t="s">
        <v>23</v>
      </c>
      <c r="E315" s="23" t="s">
        <v>25</v>
      </c>
      <c r="F315" s="23" t="s">
        <v>14</v>
      </c>
      <c r="G315" s="20">
        <v>3</v>
      </c>
      <c r="H315" s="30">
        <v>45</v>
      </c>
      <c r="I315" s="62"/>
      <c r="J315" s="59" t="str">
        <f>IF(TableSales[[#This Row],[Sales]]&gt;=70, TableSales[[#This Row],[Sales]]*0.05, "No commission")</f>
        <v>No commission</v>
      </c>
      <c r="K315" s="60" t="str">
        <f>LEFT($J$7,6)&amp;TableSales[[#This Row],[Salesperson]]&amp;RIGHT($K$7,10)</f>
        <v>sales.HARRY@email.com</v>
      </c>
      <c r="L315" s="60"/>
    </row>
    <row r="316" spans="2:12" ht="15.6">
      <c r="B316" s="27">
        <v>43398</v>
      </c>
      <c r="C316" s="22" t="s">
        <v>24</v>
      </c>
      <c r="D316" s="22" t="s">
        <v>12</v>
      </c>
      <c r="E316" s="22" t="s">
        <v>15</v>
      </c>
      <c r="F316" s="22" t="s">
        <v>10</v>
      </c>
      <c r="G316" s="19">
        <v>1</v>
      </c>
      <c r="H316" s="29">
        <v>13</v>
      </c>
      <c r="I316" s="59"/>
      <c r="J316" s="59" t="str">
        <f>IF(TableSales[[#This Row],[Sales]]&gt;=70, TableSales[[#This Row],[Sales]]*0.05, "No commission")</f>
        <v>No commission</v>
      </c>
      <c r="K316" s="60" t="str">
        <f>LEFT($J$7,6)&amp;TableSales[[#This Row],[Salesperson]]&amp;RIGHT($K$7,10)</f>
        <v>sales.EDGAR@email.com</v>
      </c>
      <c r="L316" s="60"/>
    </row>
    <row r="317" spans="2:12" ht="15.6">
      <c r="B317" s="28">
        <v>43399</v>
      </c>
      <c r="C317" s="23" t="s">
        <v>24</v>
      </c>
      <c r="D317" s="23" t="s">
        <v>16</v>
      </c>
      <c r="E317" s="23" t="s">
        <v>19</v>
      </c>
      <c r="F317" s="23" t="s">
        <v>18</v>
      </c>
      <c r="G317" s="20">
        <v>5</v>
      </c>
      <c r="H317" s="30">
        <v>70</v>
      </c>
      <c r="I317" s="62"/>
      <c r="J317" s="59">
        <f>IF(TableSales[[#This Row],[Sales]]&gt;=70, TableSales[[#This Row],[Sales]]*0.05, "No commission")</f>
        <v>3.5</v>
      </c>
      <c r="K317" s="60" t="str">
        <f>LEFT($J$7,6)&amp;TableSales[[#This Row],[Salesperson]]&amp;RIGHT($K$7,10)</f>
        <v>sales.EDGAR@email.com</v>
      </c>
      <c r="L317" s="60"/>
    </row>
    <row r="318" spans="2:12" ht="15.6">
      <c r="B318" s="27">
        <v>43401</v>
      </c>
      <c r="C318" s="22" t="s">
        <v>13</v>
      </c>
      <c r="D318" s="22" t="s">
        <v>23</v>
      </c>
      <c r="E318" s="22" t="s">
        <v>15</v>
      </c>
      <c r="F318" s="22" t="s">
        <v>10</v>
      </c>
      <c r="G318" s="19">
        <v>1</v>
      </c>
      <c r="H318" s="29">
        <v>13</v>
      </c>
      <c r="I318" s="59"/>
      <c r="J318" s="59" t="str">
        <f>IF(TableSales[[#This Row],[Sales]]&gt;=70, TableSales[[#This Row],[Sales]]*0.05, "No commission")</f>
        <v>No commission</v>
      </c>
      <c r="K318" s="60" t="str">
        <f>LEFT($J$7,6)&amp;TableSales[[#This Row],[Salesperson]]&amp;RIGHT($K$7,10)</f>
        <v>sales.PETE@email.com</v>
      </c>
      <c r="L318" s="60"/>
    </row>
    <row r="319" spans="2:12" ht="15.6">
      <c r="B319" s="28">
        <v>43403</v>
      </c>
      <c r="C319" s="23" t="s">
        <v>20</v>
      </c>
      <c r="D319" s="23" t="s">
        <v>21</v>
      </c>
      <c r="E319" s="23" t="s">
        <v>11</v>
      </c>
      <c r="F319" s="23" t="s">
        <v>10</v>
      </c>
      <c r="G319" s="20">
        <v>5</v>
      </c>
      <c r="H319" s="30">
        <v>60</v>
      </c>
      <c r="I319" s="62"/>
      <c r="J319" s="59" t="str">
        <f>IF(TableSales[[#This Row],[Sales]]&gt;=70, TableSales[[#This Row],[Sales]]*0.05, "No commission")</f>
        <v>No commission</v>
      </c>
      <c r="K319" s="60" t="str">
        <f>LEFT($J$7,6)&amp;TableSales[[#This Row],[Salesperson]]&amp;RIGHT($K$7,10)</f>
        <v>sales.HARRY@email.com</v>
      </c>
      <c r="L319" s="60"/>
    </row>
    <row r="320" spans="2:12" ht="15.6">
      <c r="B320" s="27">
        <v>43405</v>
      </c>
      <c r="C320" s="22" t="s">
        <v>22</v>
      </c>
      <c r="D320" s="22" t="s">
        <v>16</v>
      </c>
      <c r="E320" s="22" t="s">
        <v>15</v>
      </c>
      <c r="F320" s="22" t="s">
        <v>18</v>
      </c>
      <c r="G320" s="19">
        <v>5</v>
      </c>
      <c r="H320" s="29">
        <v>65</v>
      </c>
      <c r="I320" s="59"/>
      <c r="J320" s="59" t="str">
        <f>IF(TableSales[[#This Row],[Sales]]&gt;=70, TableSales[[#This Row],[Sales]]*0.05, "No commission")</f>
        <v>No commission</v>
      </c>
      <c r="K320" s="60" t="str">
        <f>LEFT($J$7,6)&amp;TableSales[[#This Row],[Salesperson]]&amp;RIGHT($K$7,10)</f>
        <v>sales.MARIO@email.com</v>
      </c>
      <c r="L320" s="60"/>
    </row>
    <row r="321" spans="2:12" ht="15.6">
      <c r="B321" s="28">
        <v>43407</v>
      </c>
      <c r="C321" s="23" t="s">
        <v>24</v>
      </c>
      <c r="D321" s="23" t="s">
        <v>12</v>
      </c>
      <c r="E321" s="23" t="s">
        <v>15</v>
      </c>
      <c r="F321" s="23" t="s">
        <v>14</v>
      </c>
      <c r="G321" s="20">
        <v>2</v>
      </c>
      <c r="H321" s="30">
        <v>26</v>
      </c>
      <c r="I321" s="62"/>
      <c r="J321" s="59" t="str">
        <f>IF(TableSales[[#This Row],[Sales]]&gt;=70, TableSales[[#This Row],[Sales]]*0.05, "No commission")</f>
        <v>No commission</v>
      </c>
      <c r="K321" s="60" t="str">
        <f>LEFT($J$7,6)&amp;TableSales[[#This Row],[Salesperson]]&amp;RIGHT($K$7,10)</f>
        <v>sales.EDGAR@email.com</v>
      </c>
      <c r="L321" s="60"/>
    </row>
    <row r="322" spans="2:12" ht="15.6">
      <c r="B322" s="27">
        <v>43410</v>
      </c>
      <c r="C322" s="22" t="s">
        <v>13</v>
      </c>
      <c r="D322" s="22" t="s">
        <v>12</v>
      </c>
      <c r="E322" s="22" t="s">
        <v>19</v>
      </c>
      <c r="F322" s="22" t="s">
        <v>14</v>
      </c>
      <c r="G322" s="19">
        <v>7</v>
      </c>
      <c r="H322" s="29">
        <v>98</v>
      </c>
      <c r="I322" s="59"/>
      <c r="J322" s="59">
        <f>IF(TableSales[[#This Row],[Sales]]&gt;=70, TableSales[[#This Row],[Sales]]*0.05, "No commission")</f>
        <v>4.9000000000000004</v>
      </c>
      <c r="K322" s="60" t="str">
        <f>LEFT($J$7,6)&amp;TableSales[[#This Row],[Salesperson]]&amp;RIGHT($K$7,10)</f>
        <v>sales.PETE@email.com</v>
      </c>
      <c r="L322" s="60"/>
    </row>
    <row r="323" spans="2:12" ht="15.6">
      <c r="B323" s="28">
        <v>43411</v>
      </c>
      <c r="C323" s="23" t="s">
        <v>22</v>
      </c>
      <c r="D323" s="23" t="s">
        <v>21</v>
      </c>
      <c r="E323" s="23" t="s">
        <v>25</v>
      </c>
      <c r="F323" s="23" t="s">
        <v>14</v>
      </c>
      <c r="G323" s="20">
        <v>8</v>
      </c>
      <c r="H323" s="30">
        <v>120</v>
      </c>
      <c r="I323" s="62"/>
      <c r="J323" s="59">
        <f>IF(TableSales[[#This Row],[Sales]]&gt;=70, TableSales[[#This Row],[Sales]]*0.05, "No commission")</f>
        <v>6</v>
      </c>
      <c r="K323" s="60" t="str">
        <f>LEFT($J$7,6)&amp;TableSales[[#This Row],[Salesperson]]&amp;RIGHT($K$7,10)</f>
        <v>sales.MARIO@email.com</v>
      </c>
      <c r="L323" s="60"/>
    </row>
    <row r="324" spans="2:12" ht="15.6">
      <c r="B324" s="27">
        <v>43414</v>
      </c>
      <c r="C324" s="22" t="s">
        <v>17</v>
      </c>
      <c r="D324" s="22" t="s">
        <v>12</v>
      </c>
      <c r="E324" s="22" t="s">
        <v>25</v>
      </c>
      <c r="F324" s="22" t="s">
        <v>10</v>
      </c>
      <c r="G324" s="19">
        <v>4</v>
      </c>
      <c r="H324" s="29">
        <v>60</v>
      </c>
      <c r="I324" s="59"/>
      <c r="J324" s="59" t="str">
        <f>IF(TableSales[[#This Row],[Sales]]&gt;=70, TableSales[[#This Row],[Sales]]*0.05, "No commission")</f>
        <v>No commission</v>
      </c>
      <c r="K324" s="60" t="str">
        <f>LEFT($J$7,6)&amp;TableSales[[#This Row],[Salesperson]]&amp;RIGHT($K$7,10)</f>
        <v>sales.LAUREN@email.com</v>
      </c>
      <c r="L324" s="60"/>
    </row>
    <row r="325" spans="2:12" ht="15.6">
      <c r="B325" s="28">
        <v>43415</v>
      </c>
      <c r="C325" s="23" t="s">
        <v>20</v>
      </c>
      <c r="D325" s="23" t="s">
        <v>21</v>
      </c>
      <c r="E325" s="23" t="s">
        <v>25</v>
      </c>
      <c r="F325" s="23" t="s">
        <v>10</v>
      </c>
      <c r="G325" s="20">
        <v>4</v>
      </c>
      <c r="H325" s="30">
        <v>60</v>
      </c>
      <c r="I325" s="62"/>
      <c r="J325" s="59" t="str">
        <f>IF(TableSales[[#This Row],[Sales]]&gt;=70, TableSales[[#This Row],[Sales]]*0.05, "No commission")</f>
        <v>No commission</v>
      </c>
      <c r="K325" s="60" t="str">
        <f>LEFT($J$7,6)&amp;TableSales[[#This Row],[Salesperson]]&amp;RIGHT($K$7,10)</f>
        <v>sales.HARRY@email.com</v>
      </c>
      <c r="L325" s="60"/>
    </row>
    <row r="326" spans="2:12" ht="15.6">
      <c r="B326" s="27">
        <v>43417</v>
      </c>
      <c r="C326" s="22" t="s">
        <v>20</v>
      </c>
      <c r="D326" s="22" t="s">
        <v>16</v>
      </c>
      <c r="E326" s="22" t="s">
        <v>25</v>
      </c>
      <c r="F326" s="22" t="s">
        <v>10</v>
      </c>
      <c r="G326" s="19">
        <v>7</v>
      </c>
      <c r="H326" s="29">
        <v>105</v>
      </c>
      <c r="I326" s="59"/>
      <c r="J326" s="59">
        <f>IF(TableSales[[#This Row],[Sales]]&gt;=70, TableSales[[#This Row],[Sales]]*0.05, "No commission")</f>
        <v>5.25</v>
      </c>
      <c r="K326" s="60" t="str">
        <f>LEFT($J$7,6)&amp;TableSales[[#This Row],[Salesperson]]&amp;RIGHT($K$7,10)</f>
        <v>sales.HARRY@email.com</v>
      </c>
      <c r="L326" s="60"/>
    </row>
    <row r="327" spans="2:12" ht="15.6">
      <c r="B327" s="28">
        <v>43419</v>
      </c>
      <c r="C327" s="23" t="s">
        <v>13</v>
      </c>
      <c r="D327" s="23" t="s">
        <v>21</v>
      </c>
      <c r="E327" s="23" t="s">
        <v>11</v>
      </c>
      <c r="F327" s="23" t="s">
        <v>10</v>
      </c>
      <c r="G327" s="20">
        <v>2</v>
      </c>
      <c r="H327" s="30">
        <v>24</v>
      </c>
      <c r="I327" s="62"/>
      <c r="J327" s="59" t="str">
        <f>IF(TableSales[[#This Row],[Sales]]&gt;=70, TableSales[[#This Row],[Sales]]*0.05, "No commission")</f>
        <v>No commission</v>
      </c>
      <c r="K327" s="60" t="str">
        <f>LEFT($J$7,6)&amp;TableSales[[#This Row],[Salesperson]]&amp;RIGHT($K$7,10)</f>
        <v>sales.PETE@email.com</v>
      </c>
      <c r="L327" s="60"/>
    </row>
    <row r="328" spans="2:12" ht="15.6">
      <c r="B328" s="27">
        <v>43422</v>
      </c>
      <c r="C328" s="22" t="s">
        <v>24</v>
      </c>
      <c r="D328" s="22" t="s">
        <v>12</v>
      </c>
      <c r="E328" s="22" t="s">
        <v>15</v>
      </c>
      <c r="F328" s="22" t="s">
        <v>10</v>
      </c>
      <c r="G328" s="19">
        <v>3</v>
      </c>
      <c r="H328" s="29">
        <v>39</v>
      </c>
      <c r="I328" s="59"/>
      <c r="J328" s="59" t="str">
        <f>IF(TableSales[[#This Row],[Sales]]&gt;=70, TableSales[[#This Row],[Sales]]*0.05, "No commission")</f>
        <v>No commission</v>
      </c>
      <c r="K328" s="60" t="str">
        <f>LEFT($J$7,6)&amp;TableSales[[#This Row],[Salesperson]]&amp;RIGHT($K$7,10)</f>
        <v>sales.EDGAR@email.com</v>
      </c>
      <c r="L328" s="60"/>
    </row>
    <row r="329" spans="2:12" ht="15.6">
      <c r="B329" s="28">
        <v>43425</v>
      </c>
      <c r="C329" s="23" t="s">
        <v>22</v>
      </c>
      <c r="D329" s="23" t="s">
        <v>12</v>
      </c>
      <c r="E329" s="23" t="s">
        <v>15</v>
      </c>
      <c r="F329" s="23" t="s">
        <v>14</v>
      </c>
      <c r="G329" s="20">
        <v>5</v>
      </c>
      <c r="H329" s="30">
        <v>65</v>
      </c>
      <c r="I329" s="62"/>
      <c r="J329" s="59" t="str">
        <f>IF(TableSales[[#This Row],[Sales]]&gt;=70, TableSales[[#This Row],[Sales]]*0.05, "No commission")</f>
        <v>No commission</v>
      </c>
      <c r="K329" s="60" t="str">
        <f>LEFT($J$7,6)&amp;TableSales[[#This Row],[Salesperson]]&amp;RIGHT($K$7,10)</f>
        <v>sales.MARIO@email.com</v>
      </c>
      <c r="L329" s="60"/>
    </row>
    <row r="330" spans="2:12" ht="15.6">
      <c r="B330" s="27">
        <v>43427</v>
      </c>
      <c r="C330" s="22" t="s">
        <v>20</v>
      </c>
      <c r="D330" s="22" t="s">
        <v>16</v>
      </c>
      <c r="E330" s="22" t="s">
        <v>11</v>
      </c>
      <c r="F330" s="22" t="s">
        <v>18</v>
      </c>
      <c r="G330" s="19">
        <v>1</v>
      </c>
      <c r="H330" s="29">
        <v>12</v>
      </c>
      <c r="I330" s="59"/>
      <c r="J330" s="59" t="str">
        <f>IF(TableSales[[#This Row],[Sales]]&gt;=70, TableSales[[#This Row],[Sales]]*0.05, "No commission")</f>
        <v>No commission</v>
      </c>
      <c r="K330" s="60" t="str">
        <f>LEFT($J$7,6)&amp;TableSales[[#This Row],[Salesperson]]&amp;RIGHT($K$7,10)</f>
        <v>sales.HARRY@email.com</v>
      </c>
      <c r="L330" s="60"/>
    </row>
    <row r="331" spans="2:12" ht="15.6">
      <c r="B331" s="28">
        <v>43429</v>
      </c>
      <c r="C331" s="23" t="s">
        <v>13</v>
      </c>
      <c r="D331" s="23" t="s">
        <v>21</v>
      </c>
      <c r="E331" s="23" t="s">
        <v>11</v>
      </c>
      <c r="F331" s="23" t="s">
        <v>10</v>
      </c>
      <c r="G331" s="20">
        <v>4</v>
      </c>
      <c r="H331" s="30">
        <v>48</v>
      </c>
      <c r="I331" s="62"/>
      <c r="J331" s="59" t="str">
        <f>IF(TableSales[[#This Row],[Sales]]&gt;=70, TableSales[[#This Row],[Sales]]*0.05, "No commission")</f>
        <v>No commission</v>
      </c>
      <c r="K331" s="60" t="str">
        <f>LEFT($J$7,6)&amp;TableSales[[#This Row],[Salesperson]]&amp;RIGHT($K$7,10)</f>
        <v>sales.PETE@email.com</v>
      </c>
      <c r="L331" s="60"/>
    </row>
    <row r="332" spans="2:12" ht="15.6">
      <c r="B332" s="27">
        <v>43432</v>
      </c>
      <c r="C332" s="22" t="s">
        <v>24</v>
      </c>
      <c r="D332" s="22" t="s">
        <v>21</v>
      </c>
      <c r="E332" s="22" t="s">
        <v>11</v>
      </c>
      <c r="F332" s="22" t="s">
        <v>18</v>
      </c>
      <c r="G332" s="19">
        <v>7</v>
      </c>
      <c r="H332" s="29">
        <v>84</v>
      </c>
      <c r="I332" s="59"/>
      <c r="J332" s="59">
        <f>IF(TableSales[[#This Row],[Sales]]&gt;=70, TableSales[[#This Row],[Sales]]*0.05, "No commission")</f>
        <v>4.2</v>
      </c>
      <c r="K332" s="60" t="str">
        <f>LEFT($J$7,6)&amp;TableSales[[#This Row],[Salesperson]]&amp;RIGHT($K$7,10)</f>
        <v>sales.EDGAR@email.com</v>
      </c>
      <c r="L332" s="60"/>
    </row>
    <row r="333" spans="2:12" ht="15.6">
      <c r="B333" s="28">
        <v>43435</v>
      </c>
      <c r="C333" s="23" t="s">
        <v>17</v>
      </c>
      <c r="D333" s="23" t="s">
        <v>21</v>
      </c>
      <c r="E333" s="23" t="s">
        <v>11</v>
      </c>
      <c r="F333" s="23" t="s">
        <v>10</v>
      </c>
      <c r="G333" s="20">
        <v>7</v>
      </c>
      <c r="H333" s="30">
        <v>84</v>
      </c>
      <c r="I333" s="62"/>
      <c r="J333" s="59">
        <f>IF(TableSales[[#This Row],[Sales]]&gt;=70, TableSales[[#This Row],[Sales]]*0.05, "No commission")</f>
        <v>4.2</v>
      </c>
      <c r="K333" s="60" t="str">
        <f>LEFT($J$7,6)&amp;TableSales[[#This Row],[Salesperson]]&amp;RIGHT($K$7,10)</f>
        <v>sales.LAUREN@email.com</v>
      </c>
      <c r="L333" s="60"/>
    </row>
    <row r="334" spans="2:12" ht="15.6">
      <c r="B334" s="27">
        <v>43436</v>
      </c>
      <c r="C334" s="22" t="s">
        <v>20</v>
      </c>
      <c r="D334" s="22" t="s">
        <v>23</v>
      </c>
      <c r="E334" s="22" t="s">
        <v>25</v>
      </c>
      <c r="F334" s="22" t="s">
        <v>14</v>
      </c>
      <c r="G334" s="19">
        <v>3</v>
      </c>
      <c r="H334" s="29">
        <v>45</v>
      </c>
      <c r="I334" s="59"/>
      <c r="J334" s="59" t="str">
        <f>IF(TableSales[[#This Row],[Sales]]&gt;=70, TableSales[[#This Row],[Sales]]*0.05, "No commission")</f>
        <v>No commission</v>
      </c>
      <c r="K334" s="60" t="str">
        <f>LEFT($J$7,6)&amp;TableSales[[#This Row],[Salesperson]]&amp;RIGHT($K$7,10)</f>
        <v>sales.HARRY@email.com</v>
      </c>
      <c r="L334" s="60"/>
    </row>
    <row r="335" spans="2:12" ht="15.6">
      <c r="B335" s="28">
        <v>43437</v>
      </c>
      <c r="C335" s="23" t="s">
        <v>13</v>
      </c>
      <c r="D335" s="23" t="s">
        <v>12</v>
      </c>
      <c r="E335" s="23" t="s">
        <v>19</v>
      </c>
      <c r="F335" s="23" t="s">
        <v>10</v>
      </c>
      <c r="G335" s="20">
        <v>4</v>
      </c>
      <c r="H335" s="30">
        <v>56</v>
      </c>
      <c r="I335" s="62"/>
      <c r="J335" s="59" t="str">
        <f>IF(TableSales[[#This Row],[Sales]]&gt;=70, TableSales[[#This Row],[Sales]]*0.05, "No commission")</f>
        <v>No commission</v>
      </c>
      <c r="K335" s="60" t="str">
        <f>LEFT($J$7,6)&amp;TableSales[[#This Row],[Salesperson]]&amp;RIGHT($K$7,10)</f>
        <v>sales.PETE@email.com</v>
      </c>
      <c r="L335" s="60"/>
    </row>
    <row r="336" spans="2:12" ht="15.6">
      <c r="B336" s="27">
        <v>43439</v>
      </c>
      <c r="C336" s="22" t="s">
        <v>13</v>
      </c>
      <c r="D336" s="22" t="s">
        <v>12</v>
      </c>
      <c r="E336" s="22" t="s">
        <v>19</v>
      </c>
      <c r="F336" s="22" t="s">
        <v>18</v>
      </c>
      <c r="G336" s="19">
        <v>7</v>
      </c>
      <c r="H336" s="29">
        <v>98</v>
      </c>
      <c r="I336" s="59"/>
      <c r="J336" s="59">
        <f>IF(TableSales[[#This Row],[Sales]]&gt;=70, TableSales[[#This Row],[Sales]]*0.05, "No commission")</f>
        <v>4.9000000000000004</v>
      </c>
      <c r="K336" s="60" t="str">
        <f>LEFT($J$7,6)&amp;TableSales[[#This Row],[Salesperson]]&amp;RIGHT($K$7,10)</f>
        <v>sales.PETE@email.com</v>
      </c>
      <c r="L336" s="60"/>
    </row>
    <row r="337" spans="2:27" ht="15.6">
      <c r="B337" s="28">
        <v>43440</v>
      </c>
      <c r="C337" s="23" t="s">
        <v>20</v>
      </c>
      <c r="D337" s="23" t="s">
        <v>12</v>
      </c>
      <c r="E337" s="23" t="s">
        <v>25</v>
      </c>
      <c r="F337" s="23" t="s">
        <v>14</v>
      </c>
      <c r="G337" s="20">
        <v>5</v>
      </c>
      <c r="H337" s="30">
        <v>75</v>
      </c>
      <c r="I337" s="62"/>
      <c r="J337" s="59">
        <f>IF(TableSales[[#This Row],[Sales]]&gt;=70, TableSales[[#This Row],[Sales]]*0.05, "No commission")</f>
        <v>3.75</v>
      </c>
      <c r="K337" s="60" t="str">
        <f>LEFT($J$7,6)&amp;TableSales[[#This Row],[Salesperson]]&amp;RIGHT($K$7,10)</f>
        <v>sales.HARRY@email.com</v>
      </c>
      <c r="L337" s="60"/>
    </row>
    <row r="338" spans="2:27" ht="15.6">
      <c r="B338" s="27">
        <v>43442</v>
      </c>
      <c r="C338" s="22" t="s">
        <v>22</v>
      </c>
      <c r="D338" s="22" t="s">
        <v>12</v>
      </c>
      <c r="E338" s="22" t="s">
        <v>11</v>
      </c>
      <c r="F338" s="22" t="s">
        <v>18</v>
      </c>
      <c r="G338" s="19">
        <v>3</v>
      </c>
      <c r="H338" s="29">
        <v>36</v>
      </c>
      <c r="I338" s="59"/>
      <c r="J338" s="59" t="str">
        <f>IF(TableSales[[#This Row],[Sales]]&gt;=70, TableSales[[#This Row],[Sales]]*0.05, "No commission")</f>
        <v>No commission</v>
      </c>
      <c r="K338" s="60" t="str">
        <f>LEFT($J$7,6)&amp;TableSales[[#This Row],[Salesperson]]&amp;RIGHT($K$7,10)</f>
        <v>sales.MARIO@email.com</v>
      </c>
      <c r="L338" s="60"/>
    </row>
    <row r="339" spans="2:27" ht="15.6">
      <c r="B339" s="28">
        <v>43444</v>
      </c>
      <c r="C339" s="23" t="s">
        <v>24</v>
      </c>
      <c r="D339" s="23" t="s">
        <v>16</v>
      </c>
      <c r="E339" s="23" t="s">
        <v>11</v>
      </c>
      <c r="F339" s="23" t="s">
        <v>18</v>
      </c>
      <c r="G339" s="20">
        <v>5</v>
      </c>
      <c r="H339" s="30">
        <v>60</v>
      </c>
      <c r="I339" s="62"/>
      <c r="J339" s="59" t="str">
        <f>IF(TableSales[[#This Row],[Sales]]&gt;=70, TableSales[[#This Row],[Sales]]*0.05, "No commission")</f>
        <v>No commission</v>
      </c>
      <c r="K339" s="60" t="str">
        <f>LEFT($J$7,6)&amp;TableSales[[#This Row],[Salesperson]]&amp;RIGHT($K$7,10)</f>
        <v>sales.EDGAR@email.com</v>
      </c>
      <c r="L339" s="60"/>
    </row>
    <row r="340" spans="2:27" ht="15.6">
      <c r="B340" s="27">
        <v>43445</v>
      </c>
      <c r="C340" s="22" t="s">
        <v>13</v>
      </c>
      <c r="D340" s="22" t="s">
        <v>16</v>
      </c>
      <c r="E340" s="22" t="s">
        <v>25</v>
      </c>
      <c r="F340" s="22" t="s">
        <v>14</v>
      </c>
      <c r="G340" s="19">
        <v>5</v>
      </c>
      <c r="H340" s="29">
        <v>75</v>
      </c>
      <c r="I340" s="59"/>
      <c r="J340" s="59">
        <f>IF(TableSales[[#This Row],[Sales]]&gt;=70, TableSales[[#This Row],[Sales]]*0.05, "No commission")</f>
        <v>3.75</v>
      </c>
      <c r="K340" s="60" t="str">
        <f>LEFT($J$7,6)&amp;TableSales[[#This Row],[Salesperson]]&amp;RIGHT($K$7,10)</f>
        <v>sales.PETE@email.com</v>
      </c>
      <c r="L340" s="60"/>
    </row>
    <row r="341" spans="2:27" ht="15.6">
      <c r="B341" s="28">
        <v>43446</v>
      </c>
      <c r="C341" s="23" t="s">
        <v>17</v>
      </c>
      <c r="D341" s="23" t="s">
        <v>21</v>
      </c>
      <c r="E341" s="23" t="s">
        <v>25</v>
      </c>
      <c r="F341" s="23" t="s">
        <v>10</v>
      </c>
      <c r="G341" s="20">
        <v>7</v>
      </c>
      <c r="H341" s="30">
        <v>105</v>
      </c>
      <c r="I341" s="62"/>
      <c r="J341" s="59">
        <f>IF(TableSales[[#This Row],[Sales]]&gt;=70, TableSales[[#This Row],[Sales]]*0.05, "No commission")</f>
        <v>5.25</v>
      </c>
      <c r="K341" s="60" t="str">
        <f>LEFT($J$7,6)&amp;TableSales[[#This Row],[Salesperson]]&amp;RIGHT($K$7,10)</f>
        <v>sales.LAUREN@email.com</v>
      </c>
      <c r="L341" s="60"/>
    </row>
    <row r="342" spans="2:27" ht="15.6">
      <c r="B342" s="27">
        <v>43448</v>
      </c>
      <c r="C342" s="22" t="s">
        <v>13</v>
      </c>
      <c r="D342" s="22" t="s">
        <v>21</v>
      </c>
      <c r="E342" s="22" t="s">
        <v>25</v>
      </c>
      <c r="F342" s="22" t="s">
        <v>18</v>
      </c>
      <c r="G342" s="19">
        <v>8</v>
      </c>
      <c r="H342" s="29">
        <v>120</v>
      </c>
      <c r="I342" s="59"/>
      <c r="J342" s="59">
        <f>IF(TableSales[[#This Row],[Sales]]&gt;=70, TableSales[[#This Row],[Sales]]*0.05, "No commission")</f>
        <v>6</v>
      </c>
      <c r="K342" s="60" t="str">
        <f>LEFT($J$7,6)&amp;TableSales[[#This Row],[Salesperson]]&amp;RIGHT($K$7,10)</f>
        <v>sales.PETE@email.com</v>
      </c>
      <c r="L342" s="60"/>
    </row>
    <row r="343" spans="2:27" ht="15.6">
      <c r="B343" s="28">
        <v>43450</v>
      </c>
      <c r="C343" s="23" t="s">
        <v>22</v>
      </c>
      <c r="D343" s="23" t="s">
        <v>21</v>
      </c>
      <c r="E343" s="23" t="s">
        <v>11</v>
      </c>
      <c r="F343" s="23" t="s">
        <v>10</v>
      </c>
      <c r="G343" s="20">
        <v>4</v>
      </c>
      <c r="H343" s="30">
        <v>48</v>
      </c>
      <c r="I343" s="62"/>
      <c r="J343" s="59" t="str">
        <f>IF(TableSales[[#This Row],[Sales]]&gt;=70, TableSales[[#This Row],[Sales]]*0.05, "No commission")</f>
        <v>No commission</v>
      </c>
      <c r="K343" s="60" t="str">
        <f>LEFT($J$7,6)&amp;TableSales[[#This Row],[Salesperson]]&amp;RIGHT($K$7,10)</f>
        <v>sales.MARIO@email.com</v>
      </c>
      <c r="L343" s="60"/>
    </row>
    <row r="344" spans="2:27" ht="15.6">
      <c r="B344" s="27">
        <v>43452</v>
      </c>
      <c r="C344" s="22" t="s">
        <v>20</v>
      </c>
      <c r="D344" s="22" t="s">
        <v>12</v>
      </c>
      <c r="E344" s="22" t="s">
        <v>11</v>
      </c>
      <c r="F344" s="22" t="s">
        <v>14</v>
      </c>
      <c r="G344" s="19">
        <v>6</v>
      </c>
      <c r="H344" s="29">
        <v>72</v>
      </c>
      <c r="I344" s="59"/>
      <c r="J344" s="59">
        <f>IF(TableSales[[#This Row],[Sales]]&gt;=70, TableSales[[#This Row],[Sales]]*0.05, "No commission")</f>
        <v>3.6</v>
      </c>
      <c r="K344" s="60" t="str">
        <f>LEFT($J$7,6)&amp;TableSales[[#This Row],[Salesperson]]&amp;RIGHT($K$7,10)</f>
        <v>sales.HARRY@email.com</v>
      </c>
      <c r="L344" s="60"/>
    </row>
    <row r="345" spans="2:27" ht="15.6">
      <c r="B345" s="28">
        <v>43453</v>
      </c>
      <c r="C345" s="23" t="s">
        <v>17</v>
      </c>
      <c r="D345" s="23" t="s">
        <v>21</v>
      </c>
      <c r="E345" s="23" t="s">
        <v>25</v>
      </c>
      <c r="F345" s="23" t="s">
        <v>18</v>
      </c>
      <c r="G345" s="20">
        <v>3</v>
      </c>
      <c r="H345" s="30">
        <v>45</v>
      </c>
      <c r="I345" s="62"/>
      <c r="J345" s="59" t="str">
        <f>IF(TableSales[[#This Row],[Sales]]&gt;=70, TableSales[[#This Row],[Sales]]*0.05, "No commission")</f>
        <v>No commission</v>
      </c>
      <c r="K345" s="60" t="str">
        <f>LEFT($J$7,6)&amp;TableSales[[#This Row],[Salesperson]]&amp;RIGHT($K$7,10)</f>
        <v>sales.LAUREN@email.com</v>
      </c>
      <c r="L345" s="60"/>
    </row>
    <row r="346" spans="2:27" ht="15.6">
      <c r="B346" s="27">
        <v>43454</v>
      </c>
      <c r="C346" s="22" t="s">
        <v>24</v>
      </c>
      <c r="D346" s="22" t="s">
        <v>12</v>
      </c>
      <c r="E346" s="22" t="s">
        <v>15</v>
      </c>
      <c r="F346" s="22" t="s">
        <v>14</v>
      </c>
      <c r="G346" s="19">
        <v>4</v>
      </c>
      <c r="H346" s="29">
        <v>52</v>
      </c>
      <c r="I346" s="59"/>
      <c r="J346" s="59" t="str">
        <f>IF(TableSales[[#This Row],[Sales]]&gt;=70, TableSales[[#This Row],[Sales]]*0.05, "No commission")</f>
        <v>No commission</v>
      </c>
      <c r="K346" s="60" t="str">
        <f>LEFT($J$7,6)&amp;TableSales[[#This Row],[Salesperson]]&amp;RIGHT($K$7,10)</f>
        <v>sales.EDGAR@email.com</v>
      </c>
      <c r="L346" s="60"/>
    </row>
    <row r="347" spans="2:27" ht="15.6">
      <c r="B347" s="28">
        <v>43455</v>
      </c>
      <c r="C347" s="23" t="s">
        <v>24</v>
      </c>
      <c r="D347" s="23" t="s">
        <v>23</v>
      </c>
      <c r="E347" s="23" t="s">
        <v>19</v>
      </c>
      <c r="F347" s="23" t="s">
        <v>10</v>
      </c>
      <c r="G347" s="20">
        <v>5</v>
      </c>
      <c r="H347" s="30">
        <v>70</v>
      </c>
      <c r="I347" s="62"/>
      <c r="J347" s="59">
        <f>IF(TableSales[[#This Row],[Sales]]&gt;=70, TableSales[[#This Row],[Sales]]*0.05, "No commission")</f>
        <v>3.5</v>
      </c>
      <c r="K347" s="60" t="str">
        <f>LEFT($J$7,6)&amp;TableSales[[#This Row],[Salesperson]]&amp;RIGHT($K$7,10)</f>
        <v>sales.EDGAR@email.com</v>
      </c>
      <c r="L347" s="60"/>
    </row>
    <row r="348" spans="2:27" ht="15.6">
      <c r="B348" s="27">
        <v>43458</v>
      </c>
      <c r="C348" s="22" t="s">
        <v>13</v>
      </c>
      <c r="D348" s="22" t="s">
        <v>21</v>
      </c>
      <c r="E348" s="22" t="s">
        <v>25</v>
      </c>
      <c r="F348" s="22" t="s">
        <v>14</v>
      </c>
      <c r="G348" s="19">
        <v>2</v>
      </c>
      <c r="H348" s="29">
        <v>30</v>
      </c>
      <c r="I348" s="59"/>
      <c r="J348" s="59" t="str">
        <f>IF(TableSales[[#This Row],[Sales]]&gt;=70, TableSales[[#This Row],[Sales]]*0.05, "No commission")</f>
        <v>No commission</v>
      </c>
      <c r="K348" s="60" t="str">
        <f>LEFT($J$7,6)&amp;TableSales[[#This Row],[Salesperson]]&amp;RIGHT($K$7,10)</f>
        <v>sales.PETE@email.com</v>
      </c>
      <c r="L348" s="60"/>
    </row>
    <row r="349" spans="2:27" ht="15.6">
      <c r="B349" s="28">
        <v>43460</v>
      </c>
      <c r="C349" s="23" t="s">
        <v>20</v>
      </c>
      <c r="D349" s="23" t="s">
        <v>16</v>
      </c>
      <c r="E349" s="23" t="s">
        <v>25</v>
      </c>
      <c r="F349" s="23" t="s">
        <v>10</v>
      </c>
      <c r="G349" s="20">
        <v>2</v>
      </c>
      <c r="H349" s="30">
        <v>30</v>
      </c>
      <c r="I349" s="62"/>
      <c r="J349" s="59" t="str">
        <f>IF(TableSales[[#This Row],[Sales]]&gt;=70, TableSales[[#This Row],[Sales]]*0.05, "No commission")</f>
        <v>No commission</v>
      </c>
      <c r="K349" s="60" t="str">
        <f>LEFT($J$7,6)&amp;TableSales[[#This Row],[Salesperson]]&amp;RIGHT($K$7,10)</f>
        <v>sales.HARRY@email.com</v>
      </c>
      <c r="L349" s="60"/>
    </row>
    <row r="350" spans="2:27" ht="15.6">
      <c r="B350" s="27">
        <v>43463</v>
      </c>
      <c r="C350" s="22" t="s">
        <v>17</v>
      </c>
      <c r="D350" s="22" t="s">
        <v>16</v>
      </c>
      <c r="E350" s="22" t="s">
        <v>25</v>
      </c>
      <c r="F350" s="22" t="s">
        <v>14</v>
      </c>
      <c r="G350" s="19">
        <v>1</v>
      </c>
      <c r="H350" s="29">
        <v>15</v>
      </c>
      <c r="I350" s="59"/>
      <c r="J350" s="59" t="str">
        <f>IF(TableSales[[#This Row],[Sales]]&gt;=70, TableSales[[#This Row],[Sales]]*0.05, "No commission")</f>
        <v>No commission</v>
      </c>
      <c r="K350" s="60" t="str">
        <f>LEFT($J$7,6)&amp;TableSales[[#This Row],[Salesperson]]&amp;RIGHT($K$7,10)</f>
        <v>sales.LAUREN@email.com</v>
      </c>
      <c r="L350" s="60"/>
    </row>
    <row r="351" spans="2:27" ht="15.6">
      <c r="B351" s="28">
        <v>43464</v>
      </c>
      <c r="C351" s="23" t="s">
        <v>13</v>
      </c>
      <c r="D351" s="23" t="s">
        <v>16</v>
      </c>
      <c r="E351" s="23" t="s">
        <v>15</v>
      </c>
      <c r="F351" s="23" t="s">
        <v>18</v>
      </c>
      <c r="G351" s="20">
        <v>8</v>
      </c>
      <c r="H351" s="30">
        <v>104</v>
      </c>
      <c r="I351" s="62"/>
      <c r="J351" s="59">
        <f>IF(TableSales[[#This Row],[Sales]]&gt;=70, TableSales[[#This Row],[Sales]]*0.05, "No commission")</f>
        <v>5.2</v>
      </c>
      <c r="K351" s="60" t="str">
        <f>LEFT($J$7,6)&amp;TableSales[[#This Row],[Salesperson]]&amp;RIGHT($K$7,10)</f>
        <v>sales.PETE@email.com</v>
      </c>
      <c r="L351" s="60"/>
    </row>
    <row r="352" spans="2:27" ht="18">
      <c r="B352" s="27">
        <v>43465</v>
      </c>
      <c r="C352" s="22" t="s">
        <v>20</v>
      </c>
      <c r="D352" s="22" t="s">
        <v>12</v>
      </c>
      <c r="E352" s="22" t="s">
        <v>19</v>
      </c>
      <c r="F352" s="22" t="s">
        <v>18</v>
      </c>
      <c r="G352" s="19">
        <v>1</v>
      </c>
      <c r="H352" s="29">
        <v>14</v>
      </c>
      <c r="I352" s="59"/>
      <c r="J352" s="59" t="str">
        <f>IF(TableSales[[#This Row],[Sales]]&gt;=70, TableSales[[#This Row],[Sales]]*0.05, "No commission")</f>
        <v>No commission</v>
      </c>
      <c r="K352" s="60" t="str">
        <f>LEFT($J$7,6)&amp;TableSales[[#This Row],[Salesperson]]&amp;RIGHT($K$7,10)</f>
        <v>sales.HARRY@email.com</v>
      </c>
      <c r="L352" s="60"/>
      <c r="AA352" s="1"/>
    </row>
    <row r="353" spans="2:12" ht="15.6">
      <c r="B353" s="28">
        <v>43466</v>
      </c>
      <c r="C353" s="23" t="s">
        <v>20</v>
      </c>
      <c r="D353" s="23" t="s">
        <v>12</v>
      </c>
      <c r="E353" s="23" t="s">
        <v>25</v>
      </c>
      <c r="F353" s="23" t="s">
        <v>10</v>
      </c>
      <c r="G353" s="20">
        <v>7</v>
      </c>
      <c r="H353" s="30">
        <v>105</v>
      </c>
      <c r="I353" s="62"/>
      <c r="J353" s="59">
        <f>IF(TableSales[[#This Row],[Sales]]&gt;=70, TableSales[[#This Row],[Sales]]*0.05, "No commission")</f>
        <v>5.25</v>
      </c>
      <c r="K353" s="60" t="str">
        <f>LEFT($J$7,6)&amp;TableSales[[#This Row],[Salesperson]]&amp;RIGHT($K$7,10)</f>
        <v>sales.HARRY@email.com</v>
      </c>
      <c r="L353" s="60"/>
    </row>
    <row r="354" spans="2:12" ht="15.6">
      <c r="B354" s="27">
        <v>43469</v>
      </c>
      <c r="C354" s="22" t="s">
        <v>13</v>
      </c>
      <c r="D354" s="22" t="s">
        <v>21</v>
      </c>
      <c r="E354" s="22" t="s">
        <v>25</v>
      </c>
      <c r="F354" s="22" t="s">
        <v>14</v>
      </c>
      <c r="G354" s="19">
        <v>4</v>
      </c>
      <c r="H354" s="29">
        <v>60</v>
      </c>
      <c r="I354" s="59"/>
      <c r="J354" s="59" t="str">
        <f>IF(TableSales[[#This Row],[Sales]]&gt;=70, TableSales[[#This Row],[Sales]]*0.05, "No commission")</f>
        <v>No commission</v>
      </c>
      <c r="K354" s="60" t="str">
        <f>LEFT($J$7,6)&amp;TableSales[[#This Row],[Salesperson]]&amp;RIGHT($K$7,10)</f>
        <v>sales.PETE@email.com</v>
      </c>
      <c r="L354" s="60"/>
    </row>
    <row r="355" spans="2:12" ht="15.6">
      <c r="B355" s="28">
        <v>43471</v>
      </c>
      <c r="C355" s="23" t="s">
        <v>20</v>
      </c>
      <c r="D355" s="23" t="s">
        <v>12</v>
      </c>
      <c r="E355" s="23" t="s">
        <v>11</v>
      </c>
      <c r="F355" s="23" t="s">
        <v>10</v>
      </c>
      <c r="G355" s="20">
        <v>3</v>
      </c>
      <c r="H355" s="30">
        <v>36</v>
      </c>
      <c r="I355" s="62"/>
      <c r="J355" s="59" t="str">
        <f>IF(TableSales[[#This Row],[Sales]]&gt;=70, TableSales[[#This Row],[Sales]]*0.05, "No commission")</f>
        <v>No commission</v>
      </c>
      <c r="K355" s="60" t="str">
        <f>LEFT($J$7,6)&amp;TableSales[[#This Row],[Salesperson]]&amp;RIGHT($K$7,10)</f>
        <v>sales.HARRY@email.com</v>
      </c>
      <c r="L355" s="60"/>
    </row>
    <row r="356" spans="2:12" ht="15.6">
      <c r="B356" s="27">
        <v>43474</v>
      </c>
      <c r="C356" s="22" t="s">
        <v>24</v>
      </c>
      <c r="D356" s="22" t="s">
        <v>16</v>
      </c>
      <c r="E356" s="22" t="s">
        <v>15</v>
      </c>
      <c r="F356" s="22" t="s">
        <v>18</v>
      </c>
      <c r="G356" s="19">
        <v>2</v>
      </c>
      <c r="H356" s="29">
        <v>26</v>
      </c>
      <c r="I356" s="59"/>
      <c r="J356" s="59" t="str">
        <f>IF(TableSales[[#This Row],[Sales]]&gt;=70, TableSales[[#This Row],[Sales]]*0.05, "No commission")</f>
        <v>No commission</v>
      </c>
      <c r="K356" s="60" t="str">
        <f>LEFT($J$7,6)&amp;TableSales[[#This Row],[Salesperson]]&amp;RIGHT($K$7,10)</f>
        <v>sales.EDGAR@email.com</v>
      </c>
      <c r="L356" s="60"/>
    </row>
    <row r="357" spans="2:12" ht="15.6">
      <c r="B357" s="28">
        <v>43475</v>
      </c>
      <c r="C357" s="23" t="s">
        <v>20</v>
      </c>
      <c r="D357" s="23" t="s">
        <v>23</v>
      </c>
      <c r="E357" s="23" t="s">
        <v>25</v>
      </c>
      <c r="F357" s="23" t="s">
        <v>14</v>
      </c>
      <c r="G357" s="20">
        <v>6</v>
      </c>
      <c r="H357" s="30">
        <v>90</v>
      </c>
      <c r="I357" s="62"/>
      <c r="J357" s="59">
        <f>IF(TableSales[[#This Row],[Sales]]&gt;=70, TableSales[[#This Row],[Sales]]*0.05, "No commission")</f>
        <v>4.5</v>
      </c>
      <c r="K357" s="60" t="str">
        <f>LEFT($J$7,6)&amp;TableSales[[#This Row],[Salesperson]]&amp;RIGHT($K$7,10)</f>
        <v>sales.HARRY@email.com</v>
      </c>
      <c r="L357" s="60"/>
    </row>
    <row r="358" spans="2:12" ht="15.6">
      <c r="B358" s="27">
        <v>43478</v>
      </c>
      <c r="C358" s="22" t="s">
        <v>13</v>
      </c>
      <c r="D358" s="22" t="s">
        <v>12</v>
      </c>
      <c r="E358" s="22" t="s">
        <v>19</v>
      </c>
      <c r="F358" s="22" t="s">
        <v>14</v>
      </c>
      <c r="G358" s="19">
        <v>5</v>
      </c>
      <c r="H358" s="29">
        <v>70</v>
      </c>
      <c r="I358" s="59"/>
      <c r="J358" s="59">
        <f>IF(TableSales[[#This Row],[Sales]]&gt;=70, TableSales[[#This Row],[Sales]]*0.05, "No commission")</f>
        <v>3.5</v>
      </c>
      <c r="K358" s="60" t="str">
        <f>LEFT($J$7,6)&amp;TableSales[[#This Row],[Salesperson]]&amp;RIGHT($K$7,10)</f>
        <v>sales.PETE@email.com</v>
      </c>
      <c r="L358" s="60"/>
    </row>
    <row r="359" spans="2:12" ht="15.6">
      <c r="B359" s="28">
        <v>43481</v>
      </c>
      <c r="C359" s="23" t="s">
        <v>13</v>
      </c>
      <c r="D359" s="23" t="s">
        <v>12</v>
      </c>
      <c r="E359" s="23" t="s">
        <v>25</v>
      </c>
      <c r="F359" s="23" t="s">
        <v>10</v>
      </c>
      <c r="G359" s="20">
        <v>7</v>
      </c>
      <c r="H359" s="30">
        <v>105</v>
      </c>
      <c r="I359" s="62"/>
      <c r="J359" s="59">
        <f>IF(TableSales[[#This Row],[Sales]]&gt;=70, TableSales[[#This Row],[Sales]]*0.05, "No commission")</f>
        <v>5.25</v>
      </c>
      <c r="K359" s="60" t="str">
        <f>LEFT($J$7,6)&amp;TableSales[[#This Row],[Salesperson]]&amp;RIGHT($K$7,10)</f>
        <v>sales.PETE@email.com</v>
      </c>
      <c r="L359" s="60"/>
    </row>
    <row r="360" spans="2:12" ht="15.6">
      <c r="B360" s="27">
        <v>43482</v>
      </c>
      <c r="C360" s="22" t="s">
        <v>13</v>
      </c>
      <c r="D360" s="22" t="s">
        <v>23</v>
      </c>
      <c r="E360" s="22" t="s">
        <v>19</v>
      </c>
      <c r="F360" s="22" t="s">
        <v>10</v>
      </c>
      <c r="G360" s="19">
        <v>7</v>
      </c>
      <c r="H360" s="29">
        <v>98</v>
      </c>
      <c r="I360" s="59"/>
      <c r="J360" s="59">
        <f>IF(TableSales[[#This Row],[Sales]]&gt;=70, TableSales[[#This Row],[Sales]]*0.05, "No commission")</f>
        <v>4.9000000000000004</v>
      </c>
      <c r="K360" s="60" t="str">
        <f>LEFT($J$7,6)&amp;TableSales[[#This Row],[Salesperson]]&amp;RIGHT($K$7,10)</f>
        <v>sales.PETE@email.com</v>
      </c>
      <c r="L360" s="60"/>
    </row>
    <row r="361" spans="2:12" ht="15.6">
      <c r="B361" s="28">
        <v>43484</v>
      </c>
      <c r="C361" s="23" t="s">
        <v>22</v>
      </c>
      <c r="D361" s="23" t="s">
        <v>21</v>
      </c>
      <c r="E361" s="23" t="s">
        <v>19</v>
      </c>
      <c r="F361" s="23" t="s">
        <v>14</v>
      </c>
      <c r="G361" s="20">
        <v>1</v>
      </c>
      <c r="H361" s="30">
        <v>14</v>
      </c>
      <c r="I361" s="62"/>
      <c r="J361" s="59" t="str">
        <f>IF(TableSales[[#This Row],[Sales]]&gt;=70, TableSales[[#This Row],[Sales]]*0.05, "No commission")</f>
        <v>No commission</v>
      </c>
      <c r="K361" s="60" t="str">
        <f>LEFT($J$7,6)&amp;TableSales[[#This Row],[Salesperson]]&amp;RIGHT($K$7,10)</f>
        <v>sales.MARIO@email.com</v>
      </c>
      <c r="L361" s="60"/>
    </row>
    <row r="362" spans="2:12" ht="15.6">
      <c r="B362" s="27">
        <v>43485</v>
      </c>
      <c r="C362" s="22" t="s">
        <v>13</v>
      </c>
      <c r="D362" s="22" t="s">
        <v>21</v>
      </c>
      <c r="E362" s="22" t="s">
        <v>15</v>
      </c>
      <c r="F362" s="22" t="s">
        <v>14</v>
      </c>
      <c r="G362" s="19">
        <v>2</v>
      </c>
      <c r="H362" s="29">
        <v>26</v>
      </c>
      <c r="I362" s="59"/>
      <c r="J362" s="59" t="str">
        <f>IF(TableSales[[#This Row],[Sales]]&gt;=70, TableSales[[#This Row],[Sales]]*0.05, "No commission")</f>
        <v>No commission</v>
      </c>
      <c r="K362" s="60" t="str">
        <f>LEFT($J$7,6)&amp;TableSales[[#This Row],[Salesperson]]&amp;RIGHT($K$7,10)</f>
        <v>sales.PETE@email.com</v>
      </c>
      <c r="L362" s="60"/>
    </row>
    <row r="363" spans="2:12" ht="15.6">
      <c r="B363" s="28">
        <v>43487</v>
      </c>
      <c r="C363" s="23" t="s">
        <v>24</v>
      </c>
      <c r="D363" s="23" t="s">
        <v>12</v>
      </c>
      <c r="E363" s="23" t="s">
        <v>19</v>
      </c>
      <c r="F363" s="23" t="s">
        <v>14</v>
      </c>
      <c r="G363" s="20">
        <v>3</v>
      </c>
      <c r="H363" s="30">
        <v>42</v>
      </c>
      <c r="I363" s="62"/>
      <c r="J363" s="59" t="str">
        <f>IF(TableSales[[#This Row],[Sales]]&gt;=70, TableSales[[#This Row],[Sales]]*0.05, "No commission")</f>
        <v>No commission</v>
      </c>
      <c r="K363" s="60" t="str">
        <f>LEFT($J$7,6)&amp;TableSales[[#This Row],[Salesperson]]&amp;RIGHT($K$7,10)</f>
        <v>sales.EDGAR@email.com</v>
      </c>
      <c r="L363" s="60"/>
    </row>
    <row r="364" spans="2:12" ht="15.6">
      <c r="B364" s="27">
        <v>43488</v>
      </c>
      <c r="C364" s="22" t="s">
        <v>13</v>
      </c>
      <c r="D364" s="22" t="s">
        <v>12</v>
      </c>
      <c r="E364" s="22" t="s">
        <v>25</v>
      </c>
      <c r="F364" s="22" t="s">
        <v>10</v>
      </c>
      <c r="G364" s="19">
        <v>7</v>
      </c>
      <c r="H364" s="29">
        <v>105</v>
      </c>
      <c r="I364" s="59"/>
      <c r="J364" s="59">
        <f>IF(TableSales[[#This Row],[Sales]]&gt;=70, TableSales[[#This Row],[Sales]]*0.05, "No commission")</f>
        <v>5.25</v>
      </c>
      <c r="K364" s="60" t="str">
        <f>LEFT($J$7,6)&amp;TableSales[[#This Row],[Salesperson]]&amp;RIGHT($K$7,10)</f>
        <v>sales.PETE@email.com</v>
      </c>
      <c r="L364" s="60"/>
    </row>
    <row r="365" spans="2:12" ht="15.6">
      <c r="B365" s="28">
        <v>43489</v>
      </c>
      <c r="C365" s="23" t="s">
        <v>22</v>
      </c>
      <c r="D365" s="23" t="s">
        <v>12</v>
      </c>
      <c r="E365" s="23" t="s">
        <v>19</v>
      </c>
      <c r="F365" s="23" t="s">
        <v>14</v>
      </c>
      <c r="G365" s="20">
        <v>7</v>
      </c>
      <c r="H365" s="30">
        <v>98</v>
      </c>
      <c r="I365" s="62"/>
      <c r="J365" s="59">
        <f>IF(TableSales[[#This Row],[Sales]]&gt;=70, TableSales[[#This Row],[Sales]]*0.05, "No commission")</f>
        <v>4.9000000000000004</v>
      </c>
      <c r="K365" s="60" t="str">
        <f>LEFT($J$7,6)&amp;TableSales[[#This Row],[Salesperson]]&amp;RIGHT($K$7,10)</f>
        <v>sales.MARIO@email.com</v>
      </c>
      <c r="L365" s="60"/>
    </row>
    <row r="366" spans="2:12" ht="15.6">
      <c r="B366" s="27">
        <v>43491</v>
      </c>
      <c r="C366" s="22" t="s">
        <v>13</v>
      </c>
      <c r="D366" s="22" t="s">
        <v>21</v>
      </c>
      <c r="E366" s="22" t="s">
        <v>19</v>
      </c>
      <c r="F366" s="22" t="s">
        <v>14</v>
      </c>
      <c r="G366" s="19">
        <v>3</v>
      </c>
      <c r="H366" s="29">
        <v>42</v>
      </c>
      <c r="I366" s="59"/>
      <c r="J366" s="59" t="str">
        <f>IF(TableSales[[#This Row],[Sales]]&gt;=70, TableSales[[#This Row],[Sales]]*0.05, "No commission")</f>
        <v>No commission</v>
      </c>
      <c r="K366" s="60" t="str">
        <f>LEFT($J$7,6)&amp;TableSales[[#This Row],[Salesperson]]&amp;RIGHT($K$7,10)</f>
        <v>sales.PETE@email.com</v>
      </c>
      <c r="L366" s="60"/>
    </row>
    <row r="367" spans="2:12" ht="15.6">
      <c r="B367" s="28">
        <v>43494</v>
      </c>
      <c r="C367" s="23" t="s">
        <v>17</v>
      </c>
      <c r="D367" s="23" t="s">
        <v>21</v>
      </c>
      <c r="E367" s="23" t="s">
        <v>15</v>
      </c>
      <c r="F367" s="23" t="s">
        <v>18</v>
      </c>
      <c r="G367" s="20">
        <v>5</v>
      </c>
      <c r="H367" s="30">
        <v>65</v>
      </c>
      <c r="I367" s="62"/>
      <c r="J367" s="59" t="str">
        <f>IF(TableSales[[#This Row],[Sales]]&gt;=70, TableSales[[#This Row],[Sales]]*0.05, "No commission")</f>
        <v>No commission</v>
      </c>
      <c r="K367" s="60" t="str">
        <f>LEFT($J$7,6)&amp;TableSales[[#This Row],[Salesperson]]&amp;RIGHT($K$7,10)</f>
        <v>sales.LAUREN@email.com</v>
      </c>
      <c r="L367" s="60"/>
    </row>
    <row r="368" spans="2:12" ht="15.6">
      <c r="B368" s="27">
        <v>43497</v>
      </c>
      <c r="C368" s="22" t="s">
        <v>13</v>
      </c>
      <c r="D368" s="22" t="s">
        <v>23</v>
      </c>
      <c r="E368" s="22" t="s">
        <v>19</v>
      </c>
      <c r="F368" s="22" t="s">
        <v>14</v>
      </c>
      <c r="G368" s="19">
        <v>3</v>
      </c>
      <c r="H368" s="29">
        <v>42</v>
      </c>
      <c r="I368" s="59"/>
      <c r="J368" s="59" t="str">
        <f>IF(TableSales[[#This Row],[Sales]]&gt;=70, TableSales[[#This Row],[Sales]]*0.05, "No commission")</f>
        <v>No commission</v>
      </c>
      <c r="K368" s="60" t="str">
        <f>LEFT($J$7,6)&amp;TableSales[[#This Row],[Salesperson]]&amp;RIGHT($K$7,10)</f>
        <v>sales.PETE@email.com</v>
      </c>
      <c r="L368" s="60"/>
    </row>
    <row r="369" spans="2:12" ht="15.6">
      <c r="B369" s="28">
        <v>43499</v>
      </c>
      <c r="C369" s="23" t="s">
        <v>22</v>
      </c>
      <c r="D369" s="23" t="s">
        <v>23</v>
      </c>
      <c r="E369" s="23" t="s">
        <v>15</v>
      </c>
      <c r="F369" s="23" t="s">
        <v>10</v>
      </c>
      <c r="G369" s="20">
        <v>4</v>
      </c>
      <c r="H369" s="30">
        <v>52</v>
      </c>
      <c r="I369" s="62"/>
      <c r="J369" s="59" t="str">
        <f>IF(TableSales[[#This Row],[Sales]]&gt;=70, TableSales[[#This Row],[Sales]]*0.05, "No commission")</f>
        <v>No commission</v>
      </c>
      <c r="K369" s="60" t="str">
        <f>LEFT($J$7,6)&amp;TableSales[[#This Row],[Salesperson]]&amp;RIGHT($K$7,10)</f>
        <v>sales.MARIO@email.com</v>
      </c>
      <c r="L369" s="60"/>
    </row>
    <row r="370" spans="2:12" ht="15.6">
      <c r="B370" s="27">
        <v>43500</v>
      </c>
      <c r="C370" s="22" t="s">
        <v>13</v>
      </c>
      <c r="D370" s="22" t="s">
        <v>12</v>
      </c>
      <c r="E370" s="22" t="s">
        <v>25</v>
      </c>
      <c r="F370" s="22" t="s">
        <v>18</v>
      </c>
      <c r="G370" s="19">
        <v>1</v>
      </c>
      <c r="H370" s="29">
        <v>15</v>
      </c>
      <c r="I370" s="59"/>
      <c r="J370" s="59" t="str">
        <f>IF(TableSales[[#This Row],[Sales]]&gt;=70, TableSales[[#This Row],[Sales]]*0.05, "No commission")</f>
        <v>No commission</v>
      </c>
      <c r="K370" s="60" t="str">
        <f>LEFT($J$7,6)&amp;TableSales[[#This Row],[Salesperson]]&amp;RIGHT($K$7,10)</f>
        <v>sales.PETE@email.com</v>
      </c>
      <c r="L370" s="60"/>
    </row>
    <row r="371" spans="2:12" ht="15.6">
      <c r="B371" s="28">
        <v>43503</v>
      </c>
      <c r="C371" s="23" t="s">
        <v>13</v>
      </c>
      <c r="D371" s="23" t="s">
        <v>12</v>
      </c>
      <c r="E371" s="23" t="s">
        <v>25</v>
      </c>
      <c r="F371" s="23" t="s">
        <v>10</v>
      </c>
      <c r="G371" s="20">
        <v>8</v>
      </c>
      <c r="H371" s="30">
        <v>120</v>
      </c>
      <c r="I371" s="62"/>
      <c r="J371" s="59">
        <f>IF(TableSales[[#This Row],[Sales]]&gt;=70, TableSales[[#This Row],[Sales]]*0.05, "No commission")</f>
        <v>6</v>
      </c>
      <c r="K371" s="60" t="str">
        <f>LEFT($J$7,6)&amp;TableSales[[#This Row],[Salesperson]]&amp;RIGHT($K$7,10)</f>
        <v>sales.PETE@email.com</v>
      </c>
      <c r="L371" s="60"/>
    </row>
    <row r="372" spans="2:12" ht="15.6">
      <c r="B372" s="27">
        <v>43506</v>
      </c>
      <c r="C372" s="22" t="s">
        <v>24</v>
      </c>
      <c r="D372" s="22" t="s">
        <v>21</v>
      </c>
      <c r="E372" s="22" t="s">
        <v>11</v>
      </c>
      <c r="F372" s="22" t="s">
        <v>14</v>
      </c>
      <c r="G372" s="19">
        <v>7</v>
      </c>
      <c r="H372" s="29">
        <v>84</v>
      </c>
      <c r="I372" s="59"/>
      <c r="J372" s="59">
        <f>IF(TableSales[[#This Row],[Sales]]&gt;=70, TableSales[[#This Row],[Sales]]*0.05, "No commission")</f>
        <v>4.2</v>
      </c>
      <c r="K372" s="60" t="str">
        <f>LEFT($J$7,6)&amp;TableSales[[#This Row],[Salesperson]]&amp;RIGHT($K$7,10)</f>
        <v>sales.EDGAR@email.com</v>
      </c>
      <c r="L372" s="60"/>
    </row>
    <row r="373" spans="2:12" ht="15.6">
      <c r="B373" s="28">
        <v>43507</v>
      </c>
      <c r="C373" s="23" t="s">
        <v>24</v>
      </c>
      <c r="D373" s="23" t="s">
        <v>21</v>
      </c>
      <c r="E373" s="23" t="s">
        <v>11</v>
      </c>
      <c r="F373" s="23" t="s">
        <v>18</v>
      </c>
      <c r="G373" s="20">
        <v>4</v>
      </c>
      <c r="H373" s="30">
        <v>48</v>
      </c>
      <c r="I373" s="62"/>
      <c r="J373" s="59" t="str">
        <f>IF(TableSales[[#This Row],[Sales]]&gt;=70, TableSales[[#This Row],[Sales]]*0.05, "No commission")</f>
        <v>No commission</v>
      </c>
      <c r="K373" s="60" t="str">
        <f>LEFT($J$7,6)&amp;TableSales[[#This Row],[Salesperson]]&amp;RIGHT($K$7,10)</f>
        <v>sales.EDGAR@email.com</v>
      </c>
      <c r="L373" s="60"/>
    </row>
    <row r="374" spans="2:12" ht="15.6">
      <c r="B374" s="27">
        <v>43510</v>
      </c>
      <c r="C374" s="22" t="s">
        <v>24</v>
      </c>
      <c r="D374" s="22" t="s">
        <v>21</v>
      </c>
      <c r="E374" s="22" t="s">
        <v>25</v>
      </c>
      <c r="F374" s="22" t="s">
        <v>14</v>
      </c>
      <c r="G374" s="19">
        <v>7</v>
      </c>
      <c r="H374" s="29">
        <v>105</v>
      </c>
      <c r="I374" s="59"/>
      <c r="J374" s="59">
        <f>IF(TableSales[[#This Row],[Sales]]&gt;=70, TableSales[[#This Row],[Sales]]*0.05, "No commission")</f>
        <v>5.25</v>
      </c>
      <c r="K374" s="60" t="str">
        <f>LEFT($J$7,6)&amp;TableSales[[#This Row],[Salesperson]]&amp;RIGHT($K$7,10)</f>
        <v>sales.EDGAR@email.com</v>
      </c>
      <c r="L374" s="60"/>
    </row>
    <row r="375" spans="2:12" ht="15.6">
      <c r="B375" s="28">
        <v>43512</v>
      </c>
      <c r="C375" s="23" t="s">
        <v>13</v>
      </c>
      <c r="D375" s="23" t="s">
        <v>21</v>
      </c>
      <c r="E375" s="23" t="s">
        <v>15</v>
      </c>
      <c r="F375" s="23" t="s">
        <v>14</v>
      </c>
      <c r="G375" s="20">
        <v>8</v>
      </c>
      <c r="H375" s="30">
        <v>104</v>
      </c>
      <c r="I375" s="62"/>
      <c r="J375" s="59">
        <f>IF(TableSales[[#This Row],[Sales]]&gt;=70, TableSales[[#This Row],[Sales]]*0.05, "No commission")</f>
        <v>5.2</v>
      </c>
      <c r="K375" s="60" t="str">
        <f>LEFT($J$7,6)&amp;TableSales[[#This Row],[Salesperson]]&amp;RIGHT($K$7,10)</f>
        <v>sales.PETE@email.com</v>
      </c>
      <c r="L375" s="60"/>
    </row>
    <row r="376" spans="2:12" ht="15.6">
      <c r="B376" s="27">
        <v>43514</v>
      </c>
      <c r="C376" s="22" t="s">
        <v>22</v>
      </c>
      <c r="D376" s="22" t="s">
        <v>12</v>
      </c>
      <c r="E376" s="22" t="s">
        <v>15</v>
      </c>
      <c r="F376" s="22" t="s">
        <v>18</v>
      </c>
      <c r="G376" s="19">
        <v>8</v>
      </c>
      <c r="H376" s="29">
        <v>104</v>
      </c>
      <c r="I376" s="59"/>
      <c r="J376" s="59">
        <f>IF(TableSales[[#This Row],[Sales]]&gt;=70, TableSales[[#This Row],[Sales]]*0.05, "No commission")</f>
        <v>5.2</v>
      </c>
      <c r="K376" s="60" t="str">
        <f>LEFT($J$7,6)&amp;TableSales[[#This Row],[Salesperson]]&amp;RIGHT($K$7,10)</f>
        <v>sales.MARIO@email.com</v>
      </c>
      <c r="L376" s="60"/>
    </row>
    <row r="377" spans="2:12" ht="15.6">
      <c r="B377" s="28">
        <v>43517</v>
      </c>
      <c r="C377" s="23" t="s">
        <v>20</v>
      </c>
      <c r="D377" s="23" t="s">
        <v>21</v>
      </c>
      <c r="E377" s="23" t="s">
        <v>25</v>
      </c>
      <c r="F377" s="23" t="s">
        <v>14</v>
      </c>
      <c r="G377" s="20">
        <v>6</v>
      </c>
      <c r="H377" s="30">
        <v>90</v>
      </c>
      <c r="I377" s="62"/>
      <c r="J377" s="59">
        <f>IF(TableSales[[#This Row],[Sales]]&gt;=70, TableSales[[#This Row],[Sales]]*0.05, "No commission")</f>
        <v>4.5</v>
      </c>
      <c r="K377" s="60" t="str">
        <f>LEFT($J$7,6)&amp;TableSales[[#This Row],[Salesperson]]&amp;RIGHT($K$7,10)</f>
        <v>sales.HARRY@email.com</v>
      </c>
      <c r="L377" s="60"/>
    </row>
    <row r="378" spans="2:12" ht="15.6">
      <c r="B378" s="27">
        <v>43520</v>
      </c>
      <c r="C378" s="22" t="s">
        <v>24</v>
      </c>
      <c r="D378" s="22" t="s">
        <v>12</v>
      </c>
      <c r="E378" s="22" t="s">
        <v>25</v>
      </c>
      <c r="F378" s="22" t="s">
        <v>18</v>
      </c>
      <c r="G378" s="19">
        <v>5</v>
      </c>
      <c r="H378" s="29">
        <v>75</v>
      </c>
      <c r="I378" s="59"/>
      <c r="J378" s="59">
        <f>IF(TableSales[[#This Row],[Sales]]&gt;=70, TableSales[[#This Row],[Sales]]*0.05, "No commission")</f>
        <v>3.75</v>
      </c>
      <c r="K378" s="60" t="str">
        <f>LEFT($J$7,6)&amp;TableSales[[#This Row],[Salesperson]]&amp;RIGHT($K$7,10)</f>
        <v>sales.EDGAR@email.com</v>
      </c>
      <c r="L378" s="60"/>
    </row>
    <row r="379" spans="2:12" ht="15.6">
      <c r="B379" s="28">
        <v>43521</v>
      </c>
      <c r="C379" s="23" t="s">
        <v>22</v>
      </c>
      <c r="D379" s="23" t="s">
        <v>12</v>
      </c>
      <c r="E379" s="23" t="s">
        <v>15</v>
      </c>
      <c r="F379" s="23" t="s">
        <v>18</v>
      </c>
      <c r="G379" s="20">
        <v>4</v>
      </c>
      <c r="H379" s="30">
        <v>52</v>
      </c>
      <c r="I379" s="62"/>
      <c r="J379" s="59" t="str">
        <f>IF(TableSales[[#This Row],[Sales]]&gt;=70, TableSales[[#This Row],[Sales]]*0.05, "No commission")</f>
        <v>No commission</v>
      </c>
      <c r="K379" s="60" t="str">
        <f>LEFT($J$7,6)&amp;TableSales[[#This Row],[Salesperson]]&amp;RIGHT($K$7,10)</f>
        <v>sales.MARIO@email.com</v>
      </c>
      <c r="L379" s="60"/>
    </row>
    <row r="380" spans="2:12" ht="15.6">
      <c r="B380" s="27">
        <v>43524</v>
      </c>
      <c r="C380" s="22" t="s">
        <v>17</v>
      </c>
      <c r="D380" s="22" t="s">
        <v>21</v>
      </c>
      <c r="E380" s="22" t="s">
        <v>19</v>
      </c>
      <c r="F380" s="22" t="s">
        <v>18</v>
      </c>
      <c r="G380" s="19">
        <v>7</v>
      </c>
      <c r="H380" s="29">
        <v>98</v>
      </c>
      <c r="I380" s="59"/>
      <c r="J380" s="59">
        <f>IF(TableSales[[#This Row],[Sales]]&gt;=70, TableSales[[#This Row],[Sales]]*0.05, "No commission")</f>
        <v>4.9000000000000004</v>
      </c>
      <c r="K380" s="60" t="str">
        <f>LEFT($J$7,6)&amp;TableSales[[#This Row],[Salesperson]]&amp;RIGHT($K$7,10)</f>
        <v>sales.LAUREN@email.com</v>
      </c>
      <c r="L380" s="60"/>
    </row>
    <row r="381" spans="2:12" ht="15.6">
      <c r="B381" s="28">
        <v>43525</v>
      </c>
      <c r="C381" s="23" t="s">
        <v>22</v>
      </c>
      <c r="D381" s="23" t="s">
        <v>12</v>
      </c>
      <c r="E381" s="23" t="s">
        <v>19</v>
      </c>
      <c r="F381" s="23" t="s">
        <v>14</v>
      </c>
      <c r="G381" s="20">
        <v>8</v>
      </c>
      <c r="H381" s="30">
        <v>112</v>
      </c>
      <c r="I381" s="62"/>
      <c r="J381" s="59">
        <f>IF(TableSales[[#This Row],[Sales]]&gt;=70, TableSales[[#This Row],[Sales]]*0.05, "No commission")</f>
        <v>5.6000000000000005</v>
      </c>
      <c r="K381" s="60" t="str">
        <f>LEFT($J$7,6)&amp;TableSales[[#This Row],[Salesperson]]&amp;RIGHT($K$7,10)</f>
        <v>sales.MARIO@email.com</v>
      </c>
      <c r="L381" s="60"/>
    </row>
    <row r="382" spans="2:12" ht="15.6">
      <c r="B382" s="27">
        <v>43528</v>
      </c>
      <c r="C382" s="22" t="s">
        <v>22</v>
      </c>
      <c r="D382" s="22" t="s">
        <v>16</v>
      </c>
      <c r="E382" s="22" t="s">
        <v>19</v>
      </c>
      <c r="F382" s="22" t="s">
        <v>18</v>
      </c>
      <c r="G382" s="19">
        <v>8</v>
      </c>
      <c r="H382" s="29">
        <v>112</v>
      </c>
      <c r="I382" s="59"/>
      <c r="J382" s="59">
        <f>IF(TableSales[[#This Row],[Sales]]&gt;=70, TableSales[[#This Row],[Sales]]*0.05, "No commission")</f>
        <v>5.6000000000000005</v>
      </c>
      <c r="K382" s="60" t="str">
        <f>LEFT($J$7,6)&amp;TableSales[[#This Row],[Salesperson]]&amp;RIGHT($K$7,10)</f>
        <v>sales.MARIO@email.com</v>
      </c>
      <c r="L382" s="60"/>
    </row>
    <row r="383" spans="2:12" ht="15.6">
      <c r="B383" s="28">
        <v>43531</v>
      </c>
      <c r="C383" s="23" t="s">
        <v>17</v>
      </c>
      <c r="D383" s="23" t="s">
        <v>21</v>
      </c>
      <c r="E383" s="23" t="s">
        <v>15</v>
      </c>
      <c r="F383" s="23" t="s">
        <v>10</v>
      </c>
      <c r="G383" s="20">
        <v>2</v>
      </c>
      <c r="H383" s="30">
        <v>26</v>
      </c>
      <c r="I383" s="62"/>
      <c r="J383" s="59" t="str">
        <f>IF(TableSales[[#This Row],[Sales]]&gt;=70, TableSales[[#This Row],[Sales]]*0.05, "No commission")</f>
        <v>No commission</v>
      </c>
      <c r="K383" s="60" t="str">
        <f>LEFT($J$7,6)&amp;TableSales[[#This Row],[Salesperson]]&amp;RIGHT($K$7,10)</f>
        <v>sales.LAUREN@email.com</v>
      </c>
      <c r="L383" s="60"/>
    </row>
    <row r="384" spans="2:12" ht="15.6">
      <c r="B384" s="27">
        <v>43534</v>
      </c>
      <c r="C384" s="22" t="s">
        <v>17</v>
      </c>
      <c r="D384" s="22" t="s">
        <v>16</v>
      </c>
      <c r="E384" s="22" t="s">
        <v>11</v>
      </c>
      <c r="F384" s="22" t="s">
        <v>10</v>
      </c>
      <c r="G384" s="19">
        <v>1</v>
      </c>
      <c r="H384" s="29">
        <v>12</v>
      </c>
      <c r="I384" s="59"/>
      <c r="J384" s="59" t="str">
        <f>IF(TableSales[[#This Row],[Sales]]&gt;=70, TableSales[[#This Row],[Sales]]*0.05, "No commission")</f>
        <v>No commission</v>
      </c>
      <c r="K384" s="60" t="str">
        <f>LEFT($J$7,6)&amp;TableSales[[#This Row],[Salesperson]]&amp;RIGHT($K$7,10)</f>
        <v>sales.LAUREN@email.com</v>
      </c>
      <c r="L384" s="60"/>
    </row>
    <row r="385" spans="2:12" ht="15.6">
      <c r="B385" s="28">
        <v>43536</v>
      </c>
      <c r="C385" s="23" t="s">
        <v>24</v>
      </c>
      <c r="D385" s="23" t="s">
        <v>21</v>
      </c>
      <c r="E385" s="23" t="s">
        <v>15</v>
      </c>
      <c r="F385" s="23" t="s">
        <v>14</v>
      </c>
      <c r="G385" s="20">
        <v>6</v>
      </c>
      <c r="H385" s="30">
        <v>78</v>
      </c>
      <c r="I385" s="62"/>
      <c r="J385" s="59">
        <f>IF(TableSales[[#This Row],[Sales]]&gt;=70, TableSales[[#This Row],[Sales]]*0.05, "No commission")</f>
        <v>3.9000000000000004</v>
      </c>
      <c r="K385" s="60" t="str">
        <f>LEFT($J$7,6)&amp;TableSales[[#This Row],[Salesperson]]&amp;RIGHT($K$7,10)</f>
        <v>sales.EDGAR@email.com</v>
      </c>
      <c r="L385" s="60"/>
    </row>
    <row r="386" spans="2:12" ht="15.6">
      <c r="B386" s="27">
        <v>43537</v>
      </c>
      <c r="C386" s="22" t="s">
        <v>22</v>
      </c>
      <c r="D386" s="22" t="s">
        <v>12</v>
      </c>
      <c r="E386" s="22" t="s">
        <v>25</v>
      </c>
      <c r="F386" s="22" t="s">
        <v>14</v>
      </c>
      <c r="G386" s="19">
        <v>1</v>
      </c>
      <c r="H386" s="29">
        <v>15</v>
      </c>
      <c r="I386" s="59"/>
      <c r="J386" s="59" t="str">
        <f>IF(TableSales[[#This Row],[Sales]]&gt;=70, TableSales[[#This Row],[Sales]]*0.05, "No commission")</f>
        <v>No commission</v>
      </c>
      <c r="K386" s="60" t="str">
        <f>LEFT($J$7,6)&amp;TableSales[[#This Row],[Salesperson]]&amp;RIGHT($K$7,10)</f>
        <v>sales.MARIO@email.com</v>
      </c>
      <c r="L386" s="60"/>
    </row>
    <row r="387" spans="2:12" ht="15.6">
      <c r="B387" s="28">
        <v>43540</v>
      </c>
      <c r="C387" s="23" t="s">
        <v>13</v>
      </c>
      <c r="D387" s="23" t="s">
        <v>12</v>
      </c>
      <c r="E387" s="23" t="s">
        <v>25</v>
      </c>
      <c r="F387" s="23" t="s">
        <v>18</v>
      </c>
      <c r="G387" s="20">
        <v>6</v>
      </c>
      <c r="H387" s="30">
        <v>90</v>
      </c>
      <c r="I387" s="62"/>
      <c r="J387" s="59">
        <f>IF(TableSales[[#This Row],[Sales]]&gt;=70, TableSales[[#This Row],[Sales]]*0.05, "No commission")</f>
        <v>4.5</v>
      </c>
      <c r="K387" s="60" t="str">
        <f>LEFT($J$7,6)&amp;TableSales[[#This Row],[Salesperson]]&amp;RIGHT($K$7,10)</f>
        <v>sales.PETE@email.com</v>
      </c>
      <c r="L387" s="60"/>
    </row>
    <row r="388" spans="2:12" ht="15.6">
      <c r="B388" s="27">
        <v>43542</v>
      </c>
      <c r="C388" s="22" t="s">
        <v>13</v>
      </c>
      <c r="D388" s="22" t="s">
        <v>23</v>
      </c>
      <c r="E388" s="22" t="s">
        <v>15</v>
      </c>
      <c r="F388" s="22" t="s">
        <v>18</v>
      </c>
      <c r="G388" s="19">
        <v>4</v>
      </c>
      <c r="H388" s="29">
        <v>52</v>
      </c>
      <c r="I388" s="59"/>
      <c r="J388" s="59" t="str">
        <f>IF(TableSales[[#This Row],[Sales]]&gt;=70, TableSales[[#This Row],[Sales]]*0.05, "No commission")</f>
        <v>No commission</v>
      </c>
      <c r="K388" s="60" t="str">
        <f>LEFT($J$7,6)&amp;TableSales[[#This Row],[Salesperson]]&amp;RIGHT($K$7,10)</f>
        <v>sales.PETE@email.com</v>
      </c>
      <c r="L388" s="60"/>
    </row>
    <row r="389" spans="2:12" ht="15.6">
      <c r="B389" s="28">
        <v>43543</v>
      </c>
      <c r="C389" s="23" t="s">
        <v>13</v>
      </c>
      <c r="D389" s="23" t="s">
        <v>12</v>
      </c>
      <c r="E389" s="23" t="s">
        <v>19</v>
      </c>
      <c r="F389" s="23" t="s">
        <v>10</v>
      </c>
      <c r="G389" s="20">
        <v>8</v>
      </c>
      <c r="H389" s="30">
        <v>112</v>
      </c>
      <c r="I389" s="62"/>
      <c r="J389" s="59">
        <f>IF(TableSales[[#This Row],[Sales]]&gt;=70, TableSales[[#This Row],[Sales]]*0.05, "No commission")</f>
        <v>5.6000000000000005</v>
      </c>
      <c r="K389" s="60" t="str">
        <f>LEFT($J$7,6)&amp;TableSales[[#This Row],[Salesperson]]&amp;RIGHT($K$7,10)</f>
        <v>sales.PETE@email.com</v>
      </c>
      <c r="L389" s="60"/>
    </row>
    <row r="390" spans="2:12" ht="15.6">
      <c r="B390" s="27">
        <v>43545</v>
      </c>
      <c r="C390" s="22" t="s">
        <v>22</v>
      </c>
      <c r="D390" s="22" t="s">
        <v>16</v>
      </c>
      <c r="E390" s="22" t="s">
        <v>11</v>
      </c>
      <c r="F390" s="22" t="s">
        <v>14</v>
      </c>
      <c r="G390" s="19">
        <v>6</v>
      </c>
      <c r="H390" s="29">
        <v>72</v>
      </c>
      <c r="I390" s="59"/>
      <c r="J390" s="59">
        <f>IF(TableSales[[#This Row],[Sales]]&gt;=70, TableSales[[#This Row],[Sales]]*0.05, "No commission")</f>
        <v>3.6</v>
      </c>
      <c r="K390" s="60" t="str">
        <f>LEFT($J$7,6)&amp;TableSales[[#This Row],[Salesperson]]&amp;RIGHT($K$7,10)</f>
        <v>sales.MARIO@email.com</v>
      </c>
      <c r="L390" s="60"/>
    </row>
    <row r="391" spans="2:12" ht="15.6">
      <c r="B391" s="28">
        <v>43547</v>
      </c>
      <c r="C391" s="23" t="s">
        <v>20</v>
      </c>
      <c r="D391" s="23" t="s">
        <v>16</v>
      </c>
      <c r="E391" s="23" t="s">
        <v>25</v>
      </c>
      <c r="F391" s="23" t="s">
        <v>18</v>
      </c>
      <c r="G391" s="20">
        <v>3</v>
      </c>
      <c r="H391" s="30">
        <v>45</v>
      </c>
      <c r="I391" s="62"/>
      <c r="J391" s="59" t="str">
        <f>IF(TableSales[[#This Row],[Sales]]&gt;=70, TableSales[[#This Row],[Sales]]*0.05, "No commission")</f>
        <v>No commission</v>
      </c>
      <c r="K391" s="60" t="str">
        <f>LEFT($J$7,6)&amp;TableSales[[#This Row],[Salesperson]]&amp;RIGHT($K$7,10)</f>
        <v>sales.HARRY@email.com</v>
      </c>
      <c r="L391" s="60"/>
    </row>
    <row r="392" spans="2:12" ht="15.6">
      <c r="B392" s="27">
        <v>43549</v>
      </c>
      <c r="C392" s="22" t="s">
        <v>17</v>
      </c>
      <c r="D392" s="22" t="s">
        <v>21</v>
      </c>
      <c r="E392" s="22" t="s">
        <v>19</v>
      </c>
      <c r="F392" s="22" t="s">
        <v>14</v>
      </c>
      <c r="G392" s="19">
        <v>1</v>
      </c>
      <c r="H392" s="29">
        <v>14</v>
      </c>
      <c r="I392" s="59"/>
      <c r="J392" s="59" t="str">
        <f>IF(TableSales[[#This Row],[Sales]]&gt;=70, TableSales[[#This Row],[Sales]]*0.05, "No commission")</f>
        <v>No commission</v>
      </c>
      <c r="K392" s="60" t="str">
        <f>LEFT($J$7,6)&amp;TableSales[[#This Row],[Salesperson]]&amp;RIGHT($K$7,10)</f>
        <v>sales.LAUREN@email.com</v>
      </c>
      <c r="L392" s="60"/>
    </row>
    <row r="393" spans="2:12" ht="15.6">
      <c r="B393" s="28">
        <v>43552</v>
      </c>
      <c r="C393" s="23" t="s">
        <v>17</v>
      </c>
      <c r="D393" s="23" t="s">
        <v>23</v>
      </c>
      <c r="E393" s="23" t="s">
        <v>25</v>
      </c>
      <c r="F393" s="23" t="s">
        <v>10</v>
      </c>
      <c r="G393" s="20">
        <v>3</v>
      </c>
      <c r="H393" s="30">
        <v>45</v>
      </c>
      <c r="I393" s="62"/>
      <c r="J393" s="59" t="str">
        <f>IF(TableSales[[#This Row],[Sales]]&gt;=70, TableSales[[#This Row],[Sales]]*0.05, "No commission")</f>
        <v>No commission</v>
      </c>
      <c r="K393" s="60" t="str">
        <f>LEFT($J$7,6)&amp;TableSales[[#This Row],[Salesperson]]&amp;RIGHT($K$7,10)</f>
        <v>sales.LAUREN@email.com</v>
      </c>
      <c r="L393" s="60"/>
    </row>
    <row r="394" spans="2:12" ht="15.6">
      <c r="B394" s="27">
        <v>43555</v>
      </c>
      <c r="C394" s="22" t="s">
        <v>24</v>
      </c>
      <c r="D394" s="22" t="s">
        <v>12</v>
      </c>
      <c r="E394" s="22" t="s">
        <v>15</v>
      </c>
      <c r="F394" s="22" t="s">
        <v>18</v>
      </c>
      <c r="G394" s="19">
        <v>3</v>
      </c>
      <c r="H394" s="29">
        <v>39</v>
      </c>
      <c r="I394" s="59"/>
      <c r="J394" s="59" t="str">
        <f>IF(TableSales[[#This Row],[Sales]]&gt;=70, TableSales[[#This Row],[Sales]]*0.05, "No commission")</f>
        <v>No commission</v>
      </c>
      <c r="K394" s="60" t="str">
        <f>LEFT($J$7,6)&amp;TableSales[[#This Row],[Salesperson]]&amp;RIGHT($K$7,10)</f>
        <v>sales.EDGAR@email.com</v>
      </c>
      <c r="L394" s="60"/>
    </row>
    <row r="395" spans="2:12" ht="15.6">
      <c r="B395" s="28">
        <v>43557</v>
      </c>
      <c r="C395" s="23" t="s">
        <v>24</v>
      </c>
      <c r="D395" s="23" t="s">
        <v>12</v>
      </c>
      <c r="E395" s="23" t="s">
        <v>25</v>
      </c>
      <c r="F395" s="23" t="s">
        <v>14</v>
      </c>
      <c r="G395" s="20">
        <v>4</v>
      </c>
      <c r="H395" s="30">
        <v>60</v>
      </c>
      <c r="I395" s="62"/>
      <c r="J395" s="59" t="str">
        <f>IF(TableSales[[#This Row],[Sales]]&gt;=70, TableSales[[#This Row],[Sales]]*0.05, "No commission")</f>
        <v>No commission</v>
      </c>
      <c r="K395" s="60" t="str">
        <f>LEFT($J$7,6)&amp;TableSales[[#This Row],[Salesperson]]&amp;RIGHT($K$7,10)</f>
        <v>sales.EDGAR@email.com</v>
      </c>
      <c r="L395" s="60"/>
    </row>
    <row r="396" spans="2:12" ht="15.6">
      <c r="B396" s="27">
        <v>43559</v>
      </c>
      <c r="C396" s="22" t="s">
        <v>24</v>
      </c>
      <c r="D396" s="22" t="s">
        <v>21</v>
      </c>
      <c r="E396" s="22" t="s">
        <v>19</v>
      </c>
      <c r="F396" s="22" t="s">
        <v>18</v>
      </c>
      <c r="G396" s="19">
        <v>7</v>
      </c>
      <c r="H396" s="29">
        <v>98</v>
      </c>
      <c r="I396" s="59"/>
      <c r="J396" s="59">
        <f>IF(TableSales[[#This Row],[Sales]]&gt;=70, TableSales[[#This Row],[Sales]]*0.05, "No commission")</f>
        <v>4.9000000000000004</v>
      </c>
      <c r="K396" s="60" t="str">
        <f>LEFT($J$7,6)&amp;TableSales[[#This Row],[Salesperson]]&amp;RIGHT($K$7,10)</f>
        <v>sales.EDGAR@email.com</v>
      </c>
      <c r="L396" s="60"/>
    </row>
    <row r="397" spans="2:12" ht="15.6">
      <c r="B397" s="28">
        <v>43562</v>
      </c>
      <c r="C397" s="23" t="s">
        <v>13</v>
      </c>
      <c r="D397" s="23" t="s">
        <v>21</v>
      </c>
      <c r="E397" s="23" t="s">
        <v>25</v>
      </c>
      <c r="F397" s="23" t="s">
        <v>10</v>
      </c>
      <c r="G397" s="20">
        <v>8</v>
      </c>
      <c r="H397" s="30">
        <v>120</v>
      </c>
      <c r="I397" s="62"/>
      <c r="J397" s="59">
        <f>IF(TableSales[[#This Row],[Sales]]&gt;=70, TableSales[[#This Row],[Sales]]*0.05, "No commission")</f>
        <v>6</v>
      </c>
      <c r="K397" s="60" t="str">
        <f>LEFT($J$7,6)&amp;TableSales[[#This Row],[Salesperson]]&amp;RIGHT($K$7,10)</f>
        <v>sales.PETE@email.com</v>
      </c>
      <c r="L397" s="60"/>
    </row>
    <row r="398" spans="2:12" ht="15.6">
      <c r="B398" s="27">
        <v>43563</v>
      </c>
      <c r="C398" s="22" t="s">
        <v>20</v>
      </c>
      <c r="D398" s="22" t="s">
        <v>12</v>
      </c>
      <c r="E398" s="22" t="s">
        <v>11</v>
      </c>
      <c r="F398" s="22" t="s">
        <v>18</v>
      </c>
      <c r="G398" s="19">
        <v>2</v>
      </c>
      <c r="H398" s="29">
        <v>24</v>
      </c>
      <c r="I398" s="59"/>
      <c r="J398" s="59" t="str">
        <f>IF(TableSales[[#This Row],[Sales]]&gt;=70, TableSales[[#This Row],[Sales]]*0.05, "No commission")</f>
        <v>No commission</v>
      </c>
      <c r="K398" s="60" t="str">
        <f>LEFT($J$7,6)&amp;TableSales[[#This Row],[Salesperson]]&amp;RIGHT($K$7,10)</f>
        <v>sales.HARRY@email.com</v>
      </c>
      <c r="L398" s="60"/>
    </row>
    <row r="399" spans="2:12" ht="15.6">
      <c r="B399" s="28">
        <v>43566</v>
      </c>
      <c r="C399" s="23" t="s">
        <v>17</v>
      </c>
      <c r="D399" s="23" t="s">
        <v>12</v>
      </c>
      <c r="E399" s="23" t="s">
        <v>25</v>
      </c>
      <c r="F399" s="23" t="s">
        <v>10</v>
      </c>
      <c r="G399" s="20">
        <v>2</v>
      </c>
      <c r="H399" s="30">
        <v>30</v>
      </c>
      <c r="I399" s="62"/>
      <c r="J399" s="59" t="str">
        <f>IF(TableSales[[#This Row],[Sales]]&gt;=70, TableSales[[#This Row],[Sales]]*0.05, "No commission")</f>
        <v>No commission</v>
      </c>
      <c r="K399" s="60" t="str">
        <f>LEFT($J$7,6)&amp;TableSales[[#This Row],[Salesperson]]&amp;RIGHT($K$7,10)</f>
        <v>sales.LAUREN@email.com</v>
      </c>
      <c r="L399" s="60"/>
    </row>
    <row r="400" spans="2:12" ht="15.6">
      <c r="B400" s="27">
        <v>43568</v>
      </c>
      <c r="C400" s="22" t="s">
        <v>22</v>
      </c>
      <c r="D400" s="22" t="s">
        <v>12</v>
      </c>
      <c r="E400" s="22" t="s">
        <v>15</v>
      </c>
      <c r="F400" s="22" t="s">
        <v>14</v>
      </c>
      <c r="G400" s="19">
        <v>7</v>
      </c>
      <c r="H400" s="29">
        <v>91</v>
      </c>
      <c r="I400" s="59"/>
      <c r="J400" s="59">
        <f>IF(TableSales[[#This Row],[Sales]]&gt;=70, TableSales[[#This Row],[Sales]]*0.05, "No commission")</f>
        <v>4.55</v>
      </c>
      <c r="K400" s="60" t="str">
        <f>LEFT($J$7,6)&amp;TableSales[[#This Row],[Salesperson]]&amp;RIGHT($K$7,10)</f>
        <v>sales.MARIO@email.com</v>
      </c>
      <c r="L400" s="60"/>
    </row>
    <row r="401" spans="2:12" ht="15.6">
      <c r="B401" s="28">
        <v>43570</v>
      </c>
      <c r="C401" s="23" t="s">
        <v>17</v>
      </c>
      <c r="D401" s="23" t="s">
        <v>21</v>
      </c>
      <c r="E401" s="23" t="s">
        <v>25</v>
      </c>
      <c r="F401" s="23" t="s">
        <v>10</v>
      </c>
      <c r="G401" s="20">
        <v>6</v>
      </c>
      <c r="H401" s="30">
        <v>90</v>
      </c>
      <c r="I401" s="62"/>
      <c r="J401" s="59">
        <f>IF(TableSales[[#This Row],[Sales]]&gt;=70, TableSales[[#This Row],[Sales]]*0.05, "No commission")</f>
        <v>4.5</v>
      </c>
      <c r="K401" s="60" t="str">
        <f>LEFT($J$7,6)&amp;TableSales[[#This Row],[Salesperson]]&amp;RIGHT($K$7,10)</f>
        <v>sales.LAUREN@email.com</v>
      </c>
      <c r="L401" s="60"/>
    </row>
    <row r="402" spans="2:12" ht="15.6">
      <c r="B402" s="27">
        <v>43571</v>
      </c>
      <c r="C402" s="22" t="s">
        <v>17</v>
      </c>
      <c r="D402" s="22" t="s">
        <v>23</v>
      </c>
      <c r="E402" s="22" t="s">
        <v>11</v>
      </c>
      <c r="F402" s="22" t="s">
        <v>14</v>
      </c>
      <c r="G402" s="19">
        <v>8</v>
      </c>
      <c r="H402" s="29">
        <v>96</v>
      </c>
      <c r="I402" s="59"/>
      <c r="J402" s="59">
        <f>IF(TableSales[[#This Row],[Sales]]&gt;=70, TableSales[[#This Row],[Sales]]*0.05, "No commission")</f>
        <v>4.8000000000000007</v>
      </c>
      <c r="K402" s="60" t="str">
        <f>LEFT($J$7,6)&amp;TableSales[[#This Row],[Salesperson]]&amp;RIGHT($K$7,10)</f>
        <v>sales.LAUREN@email.com</v>
      </c>
      <c r="L402" s="60"/>
    </row>
    <row r="403" spans="2:12" ht="15.6">
      <c r="B403" s="28">
        <v>43572</v>
      </c>
      <c r="C403" s="23" t="s">
        <v>20</v>
      </c>
      <c r="D403" s="23" t="s">
        <v>21</v>
      </c>
      <c r="E403" s="23" t="s">
        <v>19</v>
      </c>
      <c r="F403" s="23" t="s">
        <v>18</v>
      </c>
      <c r="G403" s="20">
        <v>6</v>
      </c>
      <c r="H403" s="30">
        <v>84</v>
      </c>
      <c r="I403" s="62"/>
      <c r="J403" s="59">
        <f>IF(TableSales[[#This Row],[Sales]]&gt;=70, TableSales[[#This Row],[Sales]]*0.05, "No commission")</f>
        <v>4.2</v>
      </c>
      <c r="K403" s="60" t="str">
        <f>LEFT($J$7,6)&amp;TableSales[[#This Row],[Salesperson]]&amp;RIGHT($K$7,10)</f>
        <v>sales.HARRY@email.com</v>
      </c>
      <c r="L403" s="60"/>
    </row>
    <row r="404" spans="2:12" ht="15.6">
      <c r="B404" s="27">
        <v>43574</v>
      </c>
      <c r="C404" s="22" t="s">
        <v>20</v>
      </c>
      <c r="D404" s="22" t="s">
        <v>21</v>
      </c>
      <c r="E404" s="22" t="s">
        <v>25</v>
      </c>
      <c r="F404" s="22" t="s">
        <v>10</v>
      </c>
      <c r="G404" s="19">
        <v>8</v>
      </c>
      <c r="H404" s="29">
        <v>120</v>
      </c>
      <c r="I404" s="59"/>
      <c r="J404" s="59">
        <f>IF(TableSales[[#This Row],[Sales]]&gt;=70, TableSales[[#This Row],[Sales]]*0.05, "No commission")</f>
        <v>6</v>
      </c>
      <c r="K404" s="60" t="str">
        <f>LEFT($J$7,6)&amp;TableSales[[#This Row],[Salesperson]]&amp;RIGHT($K$7,10)</f>
        <v>sales.HARRY@email.com</v>
      </c>
      <c r="L404" s="60"/>
    </row>
    <row r="405" spans="2:12" ht="15.6">
      <c r="B405" s="28">
        <v>43575</v>
      </c>
      <c r="C405" s="23" t="s">
        <v>13</v>
      </c>
      <c r="D405" s="23" t="s">
        <v>16</v>
      </c>
      <c r="E405" s="23" t="s">
        <v>19</v>
      </c>
      <c r="F405" s="23" t="s">
        <v>10</v>
      </c>
      <c r="G405" s="20">
        <v>1</v>
      </c>
      <c r="H405" s="30">
        <v>14</v>
      </c>
      <c r="I405" s="62"/>
      <c r="J405" s="59" t="str">
        <f>IF(TableSales[[#This Row],[Sales]]&gt;=70, TableSales[[#This Row],[Sales]]*0.05, "No commission")</f>
        <v>No commission</v>
      </c>
      <c r="K405" s="60" t="str">
        <f>LEFT($J$7,6)&amp;TableSales[[#This Row],[Salesperson]]&amp;RIGHT($K$7,10)</f>
        <v>sales.PETE@email.com</v>
      </c>
      <c r="L405" s="60"/>
    </row>
    <row r="406" spans="2:12" ht="15.6">
      <c r="B406" s="27">
        <v>43577</v>
      </c>
      <c r="C406" s="22" t="s">
        <v>13</v>
      </c>
      <c r="D406" s="22" t="s">
        <v>12</v>
      </c>
      <c r="E406" s="22" t="s">
        <v>25</v>
      </c>
      <c r="F406" s="22" t="s">
        <v>18</v>
      </c>
      <c r="G406" s="19">
        <v>7</v>
      </c>
      <c r="H406" s="29">
        <v>105</v>
      </c>
      <c r="I406" s="59"/>
      <c r="J406" s="59">
        <f>IF(TableSales[[#This Row],[Sales]]&gt;=70, TableSales[[#This Row],[Sales]]*0.05, "No commission")</f>
        <v>5.25</v>
      </c>
      <c r="K406" s="60" t="str">
        <f>LEFT($J$7,6)&amp;TableSales[[#This Row],[Salesperson]]&amp;RIGHT($K$7,10)</f>
        <v>sales.PETE@email.com</v>
      </c>
      <c r="L406" s="60"/>
    </row>
    <row r="407" spans="2:12" ht="15.6">
      <c r="B407" s="28">
        <v>43578</v>
      </c>
      <c r="C407" s="23" t="s">
        <v>13</v>
      </c>
      <c r="D407" s="23" t="s">
        <v>12</v>
      </c>
      <c r="E407" s="23" t="s">
        <v>15</v>
      </c>
      <c r="F407" s="23" t="s">
        <v>14</v>
      </c>
      <c r="G407" s="20">
        <v>5</v>
      </c>
      <c r="H407" s="30">
        <v>65</v>
      </c>
      <c r="I407" s="62"/>
      <c r="J407" s="59" t="str">
        <f>IF(TableSales[[#This Row],[Sales]]&gt;=70, TableSales[[#This Row],[Sales]]*0.05, "No commission")</f>
        <v>No commission</v>
      </c>
      <c r="K407" s="60" t="str">
        <f>LEFT($J$7,6)&amp;TableSales[[#This Row],[Salesperson]]&amp;RIGHT($K$7,10)</f>
        <v>sales.PETE@email.com</v>
      </c>
      <c r="L407" s="60"/>
    </row>
    <row r="408" spans="2:12" ht="15.6">
      <c r="B408" s="27">
        <v>43579</v>
      </c>
      <c r="C408" s="22" t="s">
        <v>22</v>
      </c>
      <c r="D408" s="22" t="s">
        <v>16</v>
      </c>
      <c r="E408" s="22" t="s">
        <v>25</v>
      </c>
      <c r="F408" s="22" t="s">
        <v>14</v>
      </c>
      <c r="G408" s="19">
        <v>1</v>
      </c>
      <c r="H408" s="29">
        <v>15</v>
      </c>
      <c r="I408" s="59"/>
      <c r="J408" s="59" t="str">
        <f>IF(TableSales[[#This Row],[Sales]]&gt;=70, TableSales[[#This Row],[Sales]]*0.05, "No commission")</f>
        <v>No commission</v>
      </c>
      <c r="K408" s="60" t="str">
        <f>LEFT($J$7,6)&amp;TableSales[[#This Row],[Salesperson]]&amp;RIGHT($K$7,10)</f>
        <v>sales.MARIO@email.com</v>
      </c>
      <c r="L408" s="60"/>
    </row>
    <row r="409" spans="2:12" ht="15.6">
      <c r="B409" s="28">
        <v>43581</v>
      </c>
      <c r="C409" s="23" t="s">
        <v>13</v>
      </c>
      <c r="D409" s="23" t="s">
        <v>21</v>
      </c>
      <c r="E409" s="23" t="s">
        <v>25</v>
      </c>
      <c r="F409" s="23" t="s">
        <v>18</v>
      </c>
      <c r="G409" s="20">
        <v>8</v>
      </c>
      <c r="H409" s="30">
        <v>120</v>
      </c>
      <c r="I409" s="62"/>
      <c r="J409" s="59">
        <f>IF(TableSales[[#This Row],[Sales]]&gt;=70, TableSales[[#This Row],[Sales]]*0.05, "No commission")</f>
        <v>6</v>
      </c>
      <c r="K409" s="60" t="str">
        <f>LEFT($J$7,6)&amp;TableSales[[#This Row],[Salesperson]]&amp;RIGHT($K$7,10)</f>
        <v>sales.PETE@email.com</v>
      </c>
      <c r="L409" s="60"/>
    </row>
    <row r="410" spans="2:12" ht="15.6">
      <c r="B410" s="27">
        <v>43583</v>
      </c>
      <c r="C410" s="22" t="s">
        <v>13</v>
      </c>
      <c r="D410" s="22" t="s">
        <v>23</v>
      </c>
      <c r="E410" s="22" t="s">
        <v>15</v>
      </c>
      <c r="F410" s="22" t="s">
        <v>10</v>
      </c>
      <c r="G410" s="19">
        <v>6</v>
      </c>
      <c r="H410" s="29">
        <v>78</v>
      </c>
      <c r="I410" s="59"/>
      <c r="J410" s="59">
        <f>IF(TableSales[[#This Row],[Sales]]&gt;=70, TableSales[[#This Row],[Sales]]*0.05, "No commission")</f>
        <v>3.9000000000000004</v>
      </c>
      <c r="K410" s="60" t="str">
        <f>LEFT($J$7,6)&amp;TableSales[[#This Row],[Salesperson]]&amp;RIGHT($K$7,10)</f>
        <v>sales.PETE@email.com</v>
      </c>
      <c r="L410" s="60"/>
    </row>
    <row r="411" spans="2:12" ht="15.6">
      <c r="B411" s="28">
        <v>43584</v>
      </c>
      <c r="C411" s="23" t="s">
        <v>24</v>
      </c>
      <c r="D411" s="23" t="s">
        <v>12</v>
      </c>
      <c r="E411" s="23" t="s">
        <v>25</v>
      </c>
      <c r="F411" s="23" t="s">
        <v>14</v>
      </c>
      <c r="G411" s="20">
        <v>6</v>
      </c>
      <c r="H411" s="30">
        <v>90</v>
      </c>
      <c r="I411" s="62"/>
      <c r="J411" s="59">
        <f>IF(TableSales[[#This Row],[Sales]]&gt;=70, TableSales[[#This Row],[Sales]]*0.05, "No commission")</f>
        <v>4.5</v>
      </c>
      <c r="K411" s="60" t="str">
        <f>LEFT($J$7,6)&amp;TableSales[[#This Row],[Salesperson]]&amp;RIGHT($K$7,10)</f>
        <v>sales.EDGAR@email.com</v>
      </c>
      <c r="L411" s="60"/>
    </row>
    <row r="412" spans="2:12" ht="15.6">
      <c r="B412" s="27">
        <v>43587</v>
      </c>
      <c r="C412" s="22" t="s">
        <v>13</v>
      </c>
      <c r="D412" s="22" t="s">
        <v>12</v>
      </c>
      <c r="E412" s="22" t="s">
        <v>19</v>
      </c>
      <c r="F412" s="22" t="s">
        <v>18</v>
      </c>
      <c r="G412" s="19">
        <v>5</v>
      </c>
      <c r="H412" s="29">
        <v>70</v>
      </c>
      <c r="I412" s="59"/>
      <c r="J412" s="59">
        <f>IF(TableSales[[#This Row],[Sales]]&gt;=70, TableSales[[#This Row],[Sales]]*0.05, "No commission")</f>
        <v>3.5</v>
      </c>
      <c r="K412" s="60" t="str">
        <f>LEFT($J$7,6)&amp;TableSales[[#This Row],[Salesperson]]&amp;RIGHT($K$7,10)</f>
        <v>sales.PETE@email.com</v>
      </c>
      <c r="L412" s="60"/>
    </row>
    <row r="413" spans="2:12" ht="15.6">
      <c r="B413" s="28">
        <v>43590</v>
      </c>
      <c r="C413" s="23" t="s">
        <v>20</v>
      </c>
      <c r="D413" s="23" t="s">
        <v>12</v>
      </c>
      <c r="E413" s="23" t="s">
        <v>25</v>
      </c>
      <c r="F413" s="23" t="s">
        <v>10</v>
      </c>
      <c r="G413" s="20">
        <v>5</v>
      </c>
      <c r="H413" s="30">
        <v>75</v>
      </c>
      <c r="I413" s="62"/>
      <c r="J413" s="59">
        <f>IF(TableSales[[#This Row],[Sales]]&gt;=70, TableSales[[#This Row],[Sales]]*0.05, "No commission")</f>
        <v>3.75</v>
      </c>
      <c r="K413" s="60" t="str">
        <f>LEFT($J$7,6)&amp;TableSales[[#This Row],[Salesperson]]&amp;RIGHT($K$7,10)</f>
        <v>sales.HARRY@email.com</v>
      </c>
      <c r="L413" s="60"/>
    </row>
    <row r="414" spans="2:12" ht="15.6">
      <c r="B414" s="27">
        <v>43591</v>
      </c>
      <c r="C414" s="22" t="s">
        <v>20</v>
      </c>
      <c r="D414" s="22" t="s">
        <v>21</v>
      </c>
      <c r="E414" s="22" t="s">
        <v>19</v>
      </c>
      <c r="F414" s="22" t="s">
        <v>18</v>
      </c>
      <c r="G414" s="19">
        <v>1</v>
      </c>
      <c r="H414" s="29">
        <v>14</v>
      </c>
      <c r="I414" s="59"/>
      <c r="J414" s="59" t="str">
        <f>IF(TableSales[[#This Row],[Sales]]&gt;=70, TableSales[[#This Row],[Sales]]*0.05, "No commission")</f>
        <v>No commission</v>
      </c>
      <c r="K414" s="60" t="str">
        <f>LEFT($J$7,6)&amp;TableSales[[#This Row],[Salesperson]]&amp;RIGHT($K$7,10)</f>
        <v>sales.HARRY@email.com</v>
      </c>
      <c r="L414" s="60"/>
    </row>
    <row r="415" spans="2:12" ht="15.6">
      <c r="B415" s="28">
        <v>43592</v>
      </c>
      <c r="C415" s="23" t="s">
        <v>24</v>
      </c>
      <c r="D415" s="23" t="s">
        <v>12</v>
      </c>
      <c r="E415" s="23" t="s">
        <v>15</v>
      </c>
      <c r="F415" s="23" t="s">
        <v>14</v>
      </c>
      <c r="G415" s="20">
        <v>7</v>
      </c>
      <c r="H415" s="30">
        <v>91</v>
      </c>
      <c r="I415" s="62"/>
      <c r="J415" s="59">
        <f>IF(TableSales[[#This Row],[Sales]]&gt;=70, TableSales[[#This Row],[Sales]]*0.05, "No commission")</f>
        <v>4.55</v>
      </c>
      <c r="K415" s="60" t="str">
        <f>LEFT($J$7,6)&amp;TableSales[[#This Row],[Salesperson]]&amp;RIGHT($K$7,10)</f>
        <v>sales.EDGAR@email.com</v>
      </c>
      <c r="L415" s="60"/>
    </row>
    <row r="416" spans="2:12" ht="15.6">
      <c r="B416" s="27">
        <v>43594</v>
      </c>
      <c r="C416" s="22" t="s">
        <v>17</v>
      </c>
      <c r="D416" s="22" t="s">
        <v>12</v>
      </c>
      <c r="E416" s="22" t="s">
        <v>19</v>
      </c>
      <c r="F416" s="22" t="s">
        <v>18</v>
      </c>
      <c r="G416" s="19">
        <v>5</v>
      </c>
      <c r="H416" s="29">
        <v>70</v>
      </c>
      <c r="I416" s="59"/>
      <c r="J416" s="59">
        <f>IF(TableSales[[#This Row],[Sales]]&gt;=70, TableSales[[#This Row],[Sales]]*0.05, "No commission")</f>
        <v>3.5</v>
      </c>
      <c r="K416" s="60" t="str">
        <f>LEFT($J$7,6)&amp;TableSales[[#This Row],[Salesperson]]&amp;RIGHT($K$7,10)</f>
        <v>sales.LAUREN@email.com</v>
      </c>
      <c r="L416" s="60"/>
    </row>
    <row r="417" spans="2:12" ht="15.6">
      <c r="B417" s="28">
        <v>43595</v>
      </c>
      <c r="C417" s="23" t="s">
        <v>24</v>
      </c>
      <c r="D417" s="23" t="s">
        <v>12</v>
      </c>
      <c r="E417" s="23" t="s">
        <v>15</v>
      </c>
      <c r="F417" s="23" t="s">
        <v>10</v>
      </c>
      <c r="G417" s="20">
        <v>5</v>
      </c>
      <c r="H417" s="30">
        <v>65</v>
      </c>
      <c r="I417" s="62"/>
      <c r="J417" s="59" t="str">
        <f>IF(TableSales[[#This Row],[Sales]]&gt;=70, TableSales[[#This Row],[Sales]]*0.05, "No commission")</f>
        <v>No commission</v>
      </c>
      <c r="K417" s="60" t="str">
        <f>LEFT($J$7,6)&amp;TableSales[[#This Row],[Salesperson]]&amp;RIGHT($K$7,10)</f>
        <v>sales.EDGAR@email.com</v>
      </c>
      <c r="L417" s="60"/>
    </row>
    <row r="418" spans="2:12" ht="15.6">
      <c r="B418" s="27">
        <v>43596</v>
      </c>
      <c r="C418" s="22" t="s">
        <v>22</v>
      </c>
      <c r="D418" s="22" t="s">
        <v>21</v>
      </c>
      <c r="E418" s="22" t="s">
        <v>11</v>
      </c>
      <c r="F418" s="22" t="s">
        <v>14</v>
      </c>
      <c r="G418" s="19">
        <v>5</v>
      </c>
      <c r="H418" s="29">
        <v>60</v>
      </c>
      <c r="I418" s="59"/>
      <c r="J418" s="59" t="str">
        <f>IF(TableSales[[#This Row],[Sales]]&gt;=70, TableSales[[#This Row],[Sales]]*0.05, "No commission")</f>
        <v>No commission</v>
      </c>
      <c r="K418" s="60" t="str">
        <f>LEFT($J$7,6)&amp;TableSales[[#This Row],[Salesperson]]&amp;RIGHT($K$7,10)</f>
        <v>sales.MARIO@email.com</v>
      </c>
      <c r="L418" s="60"/>
    </row>
    <row r="419" spans="2:12" ht="15.6">
      <c r="B419" s="28">
        <v>43597</v>
      </c>
      <c r="C419" s="23" t="s">
        <v>13</v>
      </c>
      <c r="D419" s="23" t="s">
        <v>16</v>
      </c>
      <c r="E419" s="23" t="s">
        <v>25</v>
      </c>
      <c r="F419" s="23" t="s">
        <v>10</v>
      </c>
      <c r="G419" s="20">
        <v>4</v>
      </c>
      <c r="H419" s="30">
        <v>60</v>
      </c>
      <c r="I419" s="62"/>
      <c r="J419" s="59" t="str">
        <f>IF(TableSales[[#This Row],[Sales]]&gt;=70, TableSales[[#This Row],[Sales]]*0.05, "No commission")</f>
        <v>No commission</v>
      </c>
      <c r="K419" s="60" t="str">
        <f>LEFT($J$7,6)&amp;TableSales[[#This Row],[Salesperson]]&amp;RIGHT($K$7,10)</f>
        <v>sales.PETE@email.com</v>
      </c>
      <c r="L419" s="60"/>
    </row>
    <row r="420" spans="2:12" ht="15.6">
      <c r="B420" s="27">
        <v>43598</v>
      </c>
      <c r="C420" s="22" t="s">
        <v>22</v>
      </c>
      <c r="D420" s="22" t="s">
        <v>12</v>
      </c>
      <c r="E420" s="22" t="s">
        <v>11</v>
      </c>
      <c r="F420" s="22" t="s">
        <v>10</v>
      </c>
      <c r="G420" s="19">
        <v>6</v>
      </c>
      <c r="H420" s="29">
        <v>72</v>
      </c>
      <c r="I420" s="59"/>
      <c r="J420" s="59">
        <f>IF(TableSales[[#This Row],[Sales]]&gt;=70, TableSales[[#This Row],[Sales]]*0.05, "No commission")</f>
        <v>3.6</v>
      </c>
      <c r="K420" s="60" t="str">
        <f>LEFT($J$7,6)&amp;TableSales[[#This Row],[Salesperson]]&amp;RIGHT($K$7,10)</f>
        <v>sales.MARIO@email.com</v>
      </c>
      <c r="L420" s="60"/>
    </row>
    <row r="421" spans="2:12" ht="15.6">
      <c r="B421" s="28">
        <v>43601</v>
      </c>
      <c r="C421" s="23" t="s">
        <v>13</v>
      </c>
      <c r="D421" s="23" t="s">
        <v>16</v>
      </c>
      <c r="E421" s="23" t="s">
        <v>19</v>
      </c>
      <c r="F421" s="23" t="s">
        <v>18</v>
      </c>
      <c r="G421" s="20">
        <v>5</v>
      </c>
      <c r="H421" s="30">
        <v>70</v>
      </c>
      <c r="I421" s="62"/>
      <c r="J421" s="59">
        <f>IF(TableSales[[#This Row],[Sales]]&gt;=70, TableSales[[#This Row],[Sales]]*0.05, "No commission")</f>
        <v>3.5</v>
      </c>
      <c r="K421" s="60" t="str">
        <f>LEFT($J$7,6)&amp;TableSales[[#This Row],[Salesperson]]&amp;RIGHT($K$7,10)</f>
        <v>sales.PETE@email.com</v>
      </c>
      <c r="L421" s="60"/>
    </row>
    <row r="422" spans="2:12" ht="15.6">
      <c r="B422" s="27">
        <v>43602</v>
      </c>
      <c r="C422" s="22" t="s">
        <v>13</v>
      </c>
      <c r="D422" s="22" t="s">
        <v>12</v>
      </c>
      <c r="E422" s="22" t="s">
        <v>25</v>
      </c>
      <c r="F422" s="22" t="s">
        <v>10</v>
      </c>
      <c r="G422" s="19">
        <v>8</v>
      </c>
      <c r="H422" s="29">
        <v>120</v>
      </c>
      <c r="I422" s="59"/>
      <c r="J422" s="59">
        <f>IF(TableSales[[#This Row],[Sales]]&gt;=70, TableSales[[#This Row],[Sales]]*0.05, "No commission")</f>
        <v>6</v>
      </c>
      <c r="K422" s="60" t="str">
        <f>LEFT($J$7,6)&amp;TableSales[[#This Row],[Salesperson]]&amp;RIGHT($K$7,10)</f>
        <v>sales.PETE@email.com</v>
      </c>
      <c r="L422" s="60"/>
    </row>
    <row r="423" spans="2:12" ht="15.6">
      <c r="B423" s="28">
        <v>43604</v>
      </c>
      <c r="C423" s="23" t="s">
        <v>13</v>
      </c>
      <c r="D423" s="23" t="s">
        <v>12</v>
      </c>
      <c r="E423" s="23" t="s">
        <v>25</v>
      </c>
      <c r="F423" s="23" t="s">
        <v>14</v>
      </c>
      <c r="G423" s="20">
        <v>5</v>
      </c>
      <c r="H423" s="30">
        <v>75</v>
      </c>
      <c r="I423" s="62"/>
      <c r="J423" s="59">
        <f>IF(TableSales[[#This Row],[Sales]]&gt;=70, TableSales[[#This Row],[Sales]]*0.05, "No commission")</f>
        <v>3.75</v>
      </c>
      <c r="K423" s="60" t="str">
        <f>LEFT($J$7,6)&amp;TableSales[[#This Row],[Salesperson]]&amp;RIGHT($K$7,10)</f>
        <v>sales.PETE@email.com</v>
      </c>
      <c r="L423" s="60"/>
    </row>
    <row r="424" spans="2:12" ht="15.6">
      <c r="B424" s="27">
        <v>43606</v>
      </c>
      <c r="C424" s="22" t="s">
        <v>17</v>
      </c>
      <c r="D424" s="22" t="s">
        <v>12</v>
      </c>
      <c r="E424" s="22" t="s">
        <v>19</v>
      </c>
      <c r="F424" s="22" t="s">
        <v>14</v>
      </c>
      <c r="G424" s="19">
        <v>8</v>
      </c>
      <c r="H424" s="29">
        <v>112</v>
      </c>
      <c r="I424" s="59"/>
      <c r="J424" s="59">
        <f>IF(TableSales[[#This Row],[Sales]]&gt;=70, TableSales[[#This Row],[Sales]]*0.05, "No commission")</f>
        <v>5.6000000000000005</v>
      </c>
      <c r="K424" s="60" t="str">
        <f>LEFT($J$7,6)&amp;TableSales[[#This Row],[Salesperson]]&amp;RIGHT($K$7,10)</f>
        <v>sales.LAUREN@email.com</v>
      </c>
      <c r="L424" s="60"/>
    </row>
    <row r="425" spans="2:12" ht="15.6">
      <c r="B425" s="28">
        <v>43607</v>
      </c>
      <c r="C425" s="23" t="s">
        <v>24</v>
      </c>
      <c r="D425" s="23" t="s">
        <v>21</v>
      </c>
      <c r="E425" s="23" t="s">
        <v>11</v>
      </c>
      <c r="F425" s="23" t="s">
        <v>18</v>
      </c>
      <c r="G425" s="20">
        <v>3</v>
      </c>
      <c r="H425" s="30">
        <v>36</v>
      </c>
      <c r="I425" s="62"/>
      <c r="J425" s="59" t="str">
        <f>IF(TableSales[[#This Row],[Sales]]&gt;=70, TableSales[[#This Row],[Sales]]*0.05, "No commission")</f>
        <v>No commission</v>
      </c>
      <c r="K425" s="60" t="str">
        <f>LEFT($J$7,6)&amp;TableSales[[#This Row],[Salesperson]]&amp;RIGHT($K$7,10)</f>
        <v>sales.EDGAR@email.com</v>
      </c>
      <c r="L425" s="60"/>
    </row>
    <row r="426" spans="2:12" ht="15.6">
      <c r="B426" s="27">
        <v>43608</v>
      </c>
      <c r="C426" s="22" t="s">
        <v>13</v>
      </c>
      <c r="D426" s="22" t="s">
        <v>23</v>
      </c>
      <c r="E426" s="22" t="s">
        <v>15</v>
      </c>
      <c r="F426" s="22" t="s">
        <v>10</v>
      </c>
      <c r="G426" s="19">
        <v>2</v>
      </c>
      <c r="H426" s="29">
        <v>26</v>
      </c>
      <c r="I426" s="59"/>
      <c r="J426" s="59" t="str">
        <f>IF(TableSales[[#This Row],[Sales]]&gt;=70, TableSales[[#This Row],[Sales]]*0.05, "No commission")</f>
        <v>No commission</v>
      </c>
      <c r="K426" s="60" t="str">
        <f>LEFT($J$7,6)&amp;TableSales[[#This Row],[Salesperson]]&amp;RIGHT($K$7,10)</f>
        <v>sales.PETE@email.com</v>
      </c>
      <c r="L426" s="60"/>
    </row>
    <row r="427" spans="2:12" ht="15.6">
      <c r="B427" s="28">
        <v>43610</v>
      </c>
      <c r="C427" s="23" t="s">
        <v>13</v>
      </c>
      <c r="D427" s="23" t="s">
        <v>21</v>
      </c>
      <c r="E427" s="23" t="s">
        <v>25</v>
      </c>
      <c r="F427" s="23" t="s">
        <v>18</v>
      </c>
      <c r="G427" s="20">
        <v>3</v>
      </c>
      <c r="H427" s="30">
        <v>45</v>
      </c>
      <c r="I427" s="62"/>
      <c r="J427" s="59" t="str">
        <f>IF(TableSales[[#This Row],[Sales]]&gt;=70, TableSales[[#This Row],[Sales]]*0.05, "No commission")</f>
        <v>No commission</v>
      </c>
      <c r="K427" s="60" t="str">
        <f>LEFT($J$7,6)&amp;TableSales[[#This Row],[Salesperson]]&amp;RIGHT($K$7,10)</f>
        <v>sales.PETE@email.com</v>
      </c>
      <c r="L427" s="60"/>
    </row>
    <row r="428" spans="2:12" ht="15.6">
      <c r="B428" s="27">
        <v>43613</v>
      </c>
      <c r="C428" s="22" t="s">
        <v>22</v>
      </c>
      <c r="D428" s="22" t="s">
        <v>21</v>
      </c>
      <c r="E428" s="22" t="s">
        <v>11</v>
      </c>
      <c r="F428" s="22" t="s">
        <v>10</v>
      </c>
      <c r="G428" s="19">
        <v>3</v>
      </c>
      <c r="H428" s="29">
        <v>36</v>
      </c>
      <c r="I428" s="59"/>
      <c r="J428" s="59" t="str">
        <f>IF(TableSales[[#This Row],[Sales]]&gt;=70, TableSales[[#This Row],[Sales]]*0.05, "No commission")</f>
        <v>No commission</v>
      </c>
      <c r="K428" s="60" t="str">
        <f>LEFT($J$7,6)&amp;TableSales[[#This Row],[Salesperson]]&amp;RIGHT($K$7,10)</f>
        <v>sales.MARIO@email.com</v>
      </c>
      <c r="L428" s="60"/>
    </row>
    <row r="429" spans="2:12" ht="15.6">
      <c r="B429" s="28">
        <v>43614</v>
      </c>
      <c r="C429" s="23" t="s">
        <v>13</v>
      </c>
      <c r="D429" s="23" t="s">
        <v>21</v>
      </c>
      <c r="E429" s="23" t="s">
        <v>25</v>
      </c>
      <c r="F429" s="23" t="s">
        <v>14</v>
      </c>
      <c r="G429" s="20">
        <v>8</v>
      </c>
      <c r="H429" s="30">
        <v>120</v>
      </c>
      <c r="I429" s="62"/>
      <c r="J429" s="59">
        <f>IF(TableSales[[#This Row],[Sales]]&gt;=70, TableSales[[#This Row],[Sales]]*0.05, "No commission")</f>
        <v>6</v>
      </c>
      <c r="K429" s="60" t="str">
        <f>LEFT($J$7,6)&amp;TableSales[[#This Row],[Salesperson]]&amp;RIGHT($K$7,10)</f>
        <v>sales.PETE@email.com</v>
      </c>
      <c r="L429" s="60"/>
    </row>
    <row r="430" spans="2:12" ht="15.6">
      <c r="B430" s="27">
        <v>43615</v>
      </c>
      <c r="C430" s="22" t="s">
        <v>22</v>
      </c>
      <c r="D430" s="22" t="s">
        <v>12</v>
      </c>
      <c r="E430" s="22" t="s">
        <v>25</v>
      </c>
      <c r="F430" s="22" t="s">
        <v>14</v>
      </c>
      <c r="G430" s="19">
        <v>2</v>
      </c>
      <c r="H430" s="29">
        <v>30</v>
      </c>
      <c r="I430" s="59"/>
      <c r="J430" s="59" t="str">
        <f>IF(TableSales[[#This Row],[Sales]]&gt;=70, TableSales[[#This Row],[Sales]]*0.05, "No commission")</f>
        <v>No commission</v>
      </c>
      <c r="K430" s="60" t="str">
        <f>LEFT($J$7,6)&amp;TableSales[[#This Row],[Salesperson]]&amp;RIGHT($K$7,10)</f>
        <v>sales.MARIO@email.com</v>
      </c>
      <c r="L430" s="60"/>
    </row>
    <row r="431" spans="2:12" ht="15.6">
      <c r="B431" s="28">
        <v>43618</v>
      </c>
      <c r="C431" s="23" t="s">
        <v>20</v>
      </c>
      <c r="D431" s="23" t="s">
        <v>21</v>
      </c>
      <c r="E431" s="23" t="s">
        <v>25</v>
      </c>
      <c r="F431" s="23" t="s">
        <v>18</v>
      </c>
      <c r="G431" s="20">
        <v>7</v>
      </c>
      <c r="H431" s="30">
        <v>105</v>
      </c>
      <c r="I431" s="62"/>
      <c r="J431" s="59">
        <f>IF(TableSales[[#This Row],[Sales]]&gt;=70, TableSales[[#This Row],[Sales]]*0.05, "No commission")</f>
        <v>5.25</v>
      </c>
      <c r="K431" s="60" t="str">
        <f>LEFT($J$7,6)&amp;TableSales[[#This Row],[Salesperson]]&amp;RIGHT($K$7,10)</f>
        <v>sales.HARRY@email.com</v>
      </c>
      <c r="L431" s="60"/>
    </row>
    <row r="432" spans="2:12" ht="15.6">
      <c r="B432" s="27">
        <v>43621</v>
      </c>
      <c r="C432" s="22" t="s">
        <v>13</v>
      </c>
      <c r="D432" s="22" t="s">
        <v>12</v>
      </c>
      <c r="E432" s="22" t="s">
        <v>25</v>
      </c>
      <c r="F432" s="22" t="s">
        <v>10</v>
      </c>
      <c r="G432" s="19">
        <v>4</v>
      </c>
      <c r="H432" s="29">
        <v>60</v>
      </c>
      <c r="I432" s="59"/>
      <c r="J432" s="59" t="str">
        <f>IF(TableSales[[#This Row],[Sales]]&gt;=70, TableSales[[#This Row],[Sales]]*0.05, "No commission")</f>
        <v>No commission</v>
      </c>
      <c r="K432" s="60" t="str">
        <f>LEFT($J$7,6)&amp;TableSales[[#This Row],[Salesperson]]&amp;RIGHT($K$7,10)</f>
        <v>sales.PETE@email.com</v>
      </c>
      <c r="L432" s="60"/>
    </row>
    <row r="433" spans="2:12" ht="15.6">
      <c r="B433" s="28">
        <v>43622</v>
      </c>
      <c r="C433" s="23" t="s">
        <v>13</v>
      </c>
      <c r="D433" s="23" t="s">
        <v>23</v>
      </c>
      <c r="E433" s="23" t="s">
        <v>11</v>
      </c>
      <c r="F433" s="23" t="s">
        <v>18</v>
      </c>
      <c r="G433" s="20">
        <v>1</v>
      </c>
      <c r="H433" s="30">
        <v>12</v>
      </c>
      <c r="I433" s="62"/>
      <c r="J433" s="59" t="str">
        <f>IF(TableSales[[#This Row],[Sales]]&gt;=70, TableSales[[#This Row],[Sales]]*0.05, "No commission")</f>
        <v>No commission</v>
      </c>
      <c r="K433" s="60" t="str">
        <f>LEFT($J$7,6)&amp;TableSales[[#This Row],[Salesperson]]&amp;RIGHT($K$7,10)</f>
        <v>sales.PETE@email.com</v>
      </c>
      <c r="L433" s="60"/>
    </row>
    <row r="434" spans="2:12" ht="15.6">
      <c r="B434" s="27">
        <v>43625</v>
      </c>
      <c r="C434" s="22" t="s">
        <v>24</v>
      </c>
      <c r="D434" s="22" t="s">
        <v>21</v>
      </c>
      <c r="E434" s="22" t="s">
        <v>25</v>
      </c>
      <c r="F434" s="22" t="s">
        <v>10</v>
      </c>
      <c r="G434" s="19">
        <v>3</v>
      </c>
      <c r="H434" s="29">
        <v>45</v>
      </c>
      <c r="I434" s="59"/>
      <c r="J434" s="59" t="str">
        <f>IF(TableSales[[#This Row],[Sales]]&gt;=70, TableSales[[#This Row],[Sales]]*0.05, "No commission")</f>
        <v>No commission</v>
      </c>
      <c r="K434" s="60" t="str">
        <f>LEFT($J$7,6)&amp;TableSales[[#This Row],[Salesperson]]&amp;RIGHT($K$7,10)</f>
        <v>sales.EDGAR@email.com</v>
      </c>
      <c r="L434" s="60"/>
    </row>
    <row r="435" spans="2:12" ht="15.6">
      <c r="B435" s="28">
        <v>43628</v>
      </c>
      <c r="C435" s="23" t="s">
        <v>13</v>
      </c>
      <c r="D435" s="23" t="s">
        <v>12</v>
      </c>
      <c r="E435" s="23" t="s">
        <v>25</v>
      </c>
      <c r="F435" s="23" t="s">
        <v>10</v>
      </c>
      <c r="G435" s="20">
        <v>7</v>
      </c>
      <c r="H435" s="30">
        <v>105</v>
      </c>
      <c r="I435" s="62"/>
      <c r="J435" s="59">
        <f>IF(TableSales[[#This Row],[Sales]]&gt;=70, TableSales[[#This Row],[Sales]]*0.05, "No commission")</f>
        <v>5.25</v>
      </c>
      <c r="K435" s="60" t="str">
        <f>LEFT($J$7,6)&amp;TableSales[[#This Row],[Salesperson]]&amp;RIGHT($K$7,10)</f>
        <v>sales.PETE@email.com</v>
      </c>
      <c r="L435" s="60"/>
    </row>
    <row r="436" spans="2:12" ht="15.6">
      <c r="B436" s="27">
        <v>43630</v>
      </c>
      <c r="C436" s="22" t="s">
        <v>17</v>
      </c>
      <c r="D436" s="22" t="s">
        <v>23</v>
      </c>
      <c r="E436" s="22" t="s">
        <v>11</v>
      </c>
      <c r="F436" s="22" t="s">
        <v>14</v>
      </c>
      <c r="G436" s="19">
        <v>2</v>
      </c>
      <c r="H436" s="29">
        <v>24</v>
      </c>
      <c r="I436" s="59"/>
      <c r="J436" s="59" t="str">
        <f>IF(TableSales[[#This Row],[Sales]]&gt;=70, TableSales[[#This Row],[Sales]]*0.05, "No commission")</f>
        <v>No commission</v>
      </c>
      <c r="K436" s="60" t="str">
        <f>LEFT($J$7,6)&amp;TableSales[[#This Row],[Salesperson]]&amp;RIGHT($K$7,10)</f>
        <v>sales.LAUREN@email.com</v>
      </c>
      <c r="L436" s="60"/>
    </row>
    <row r="437" spans="2:12" ht="15.6">
      <c r="B437" s="28">
        <v>43633</v>
      </c>
      <c r="C437" s="23" t="s">
        <v>13</v>
      </c>
      <c r="D437" s="23" t="s">
        <v>21</v>
      </c>
      <c r="E437" s="23" t="s">
        <v>11</v>
      </c>
      <c r="F437" s="23" t="s">
        <v>18</v>
      </c>
      <c r="G437" s="20">
        <v>3</v>
      </c>
      <c r="H437" s="30">
        <v>36</v>
      </c>
      <c r="I437" s="62"/>
      <c r="J437" s="59" t="str">
        <f>IF(TableSales[[#This Row],[Sales]]&gt;=70, TableSales[[#This Row],[Sales]]*0.05, "No commission")</f>
        <v>No commission</v>
      </c>
      <c r="K437" s="60" t="str">
        <f>LEFT($J$7,6)&amp;TableSales[[#This Row],[Salesperson]]&amp;RIGHT($K$7,10)</f>
        <v>sales.PETE@email.com</v>
      </c>
      <c r="L437" s="60"/>
    </row>
    <row r="438" spans="2:12" ht="15.6">
      <c r="B438" s="27">
        <v>43635</v>
      </c>
      <c r="C438" s="22" t="s">
        <v>24</v>
      </c>
      <c r="D438" s="22" t="s">
        <v>21</v>
      </c>
      <c r="E438" s="22" t="s">
        <v>19</v>
      </c>
      <c r="F438" s="22" t="s">
        <v>10</v>
      </c>
      <c r="G438" s="19">
        <v>7</v>
      </c>
      <c r="H438" s="29">
        <v>98</v>
      </c>
      <c r="I438" s="59"/>
      <c r="J438" s="59">
        <f>IF(TableSales[[#This Row],[Sales]]&gt;=70, TableSales[[#This Row],[Sales]]*0.05, "No commission")</f>
        <v>4.9000000000000004</v>
      </c>
      <c r="K438" s="60" t="str">
        <f>LEFT($J$7,6)&amp;TableSales[[#This Row],[Salesperson]]&amp;RIGHT($K$7,10)</f>
        <v>sales.EDGAR@email.com</v>
      </c>
      <c r="L438" s="60"/>
    </row>
    <row r="439" spans="2:12" ht="15.6">
      <c r="B439" s="28">
        <v>43638</v>
      </c>
      <c r="C439" s="23" t="s">
        <v>22</v>
      </c>
      <c r="D439" s="23" t="s">
        <v>21</v>
      </c>
      <c r="E439" s="23" t="s">
        <v>25</v>
      </c>
      <c r="F439" s="23" t="s">
        <v>18</v>
      </c>
      <c r="G439" s="20">
        <v>7</v>
      </c>
      <c r="H439" s="30">
        <v>105</v>
      </c>
      <c r="I439" s="62"/>
      <c r="J439" s="59">
        <f>IF(TableSales[[#This Row],[Sales]]&gt;=70, TableSales[[#This Row],[Sales]]*0.05, "No commission")</f>
        <v>5.25</v>
      </c>
      <c r="K439" s="60" t="str">
        <f>LEFT($J$7,6)&amp;TableSales[[#This Row],[Salesperson]]&amp;RIGHT($K$7,10)</f>
        <v>sales.MARIO@email.com</v>
      </c>
      <c r="L439" s="60"/>
    </row>
    <row r="440" spans="2:12" ht="15.6">
      <c r="B440" s="27">
        <v>43641</v>
      </c>
      <c r="C440" s="22" t="s">
        <v>13</v>
      </c>
      <c r="D440" s="22" t="s">
        <v>12</v>
      </c>
      <c r="E440" s="22" t="s">
        <v>19</v>
      </c>
      <c r="F440" s="22" t="s">
        <v>14</v>
      </c>
      <c r="G440" s="19">
        <v>4</v>
      </c>
      <c r="H440" s="29">
        <v>56</v>
      </c>
      <c r="I440" s="59"/>
      <c r="J440" s="59" t="str">
        <f>IF(TableSales[[#This Row],[Sales]]&gt;=70, TableSales[[#This Row],[Sales]]*0.05, "No commission")</f>
        <v>No commission</v>
      </c>
      <c r="K440" s="60" t="str">
        <f>LEFT($J$7,6)&amp;TableSales[[#This Row],[Salesperson]]&amp;RIGHT($K$7,10)</f>
        <v>sales.PETE@email.com</v>
      </c>
      <c r="L440" s="60"/>
    </row>
    <row r="441" spans="2:12" ht="15.6">
      <c r="B441" s="28">
        <v>43643</v>
      </c>
      <c r="C441" s="23" t="s">
        <v>20</v>
      </c>
      <c r="D441" s="23" t="s">
        <v>21</v>
      </c>
      <c r="E441" s="23" t="s">
        <v>15</v>
      </c>
      <c r="F441" s="23" t="s">
        <v>14</v>
      </c>
      <c r="G441" s="20">
        <v>6</v>
      </c>
      <c r="H441" s="30">
        <v>78</v>
      </c>
      <c r="I441" s="62"/>
      <c r="J441" s="59">
        <f>IF(TableSales[[#This Row],[Sales]]&gt;=70, TableSales[[#This Row],[Sales]]*0.05, "No commission")</f>
        <v>3.9000000000000004</v>
      </c>
      <c r="K441" s="60" t="str">
        <f>LEFT($J$7,6)&amp;TableSales[[#This Row],[Salesperson]]&amp;RIGHT($K$7,10)</f>
        <v>sales.HARRY@email.com</v>
      </c>
      <c r="L441" s="60"/>
    </row>
    <row r="442" spans="2:12" ht="15.6">
      <c r="B442" s="27">
        <v>43644</v>
      </c>
      <c r="C442" s="22" t="s">
        <v>20</v>
      </c>
      <c r="D442" s="22" t="s">
        <v>12</v>
      </c>
      <c r="E442" s="22" t="s">
        <v>15</v>
      </c>
      <c r="F442" s="22" t="s">
        <v>10</v>
      </c>
      <c r="G442" s="19">
        <v>1</v>
      </c>
      <c r="H442" s="29">
        <v>13</v>
      </c>
      <c r="I442" s="59"/>
      <c r="J442" s="59" t="str">
        <f>IF(TableSales[[#This Row],[Sales]]&gt;=70, TableSales[[#This Row],[Sales]]*0.05, "No commission")</f>
        <v>No commission</v>
      </c>
      <c r="K442" s="60" t="str">
        <f>LEFT($J$7,6)&amp;TableSales[[#This Row],[Salesperson]]&amp;RIGHT($K$7,10)</f>
        <v>sales.HARRY@email.com</v>
      </c>
      <c r="L442" s="60"/>
    </row>
    <row r="443" spans="2:12" ht="15.6">
      <c r="B443" s="28">
        <v>43645</v>
      </c>
      <c r="C443" s="23" t="s">
        <v>17</v>
      </c>
      <c r="D443" s="23" t="s">
        <v>23</v>
      </c>
      <c r="E443" s="23" t="s">
        <v>11</v>
      </c>
      <c r="F443" s="23" t="s">
        <v>18</v>
      </c>
      <c r="G443" s="20">
        <v>3</v>
      </c>
      <c r="H443" s="30">
        <v>36</v>
      </c>
      <c r="I443" s="62"/>
      <c r="J443" s="59" t="str">
        <f>IF(TableSales[[#This Row],[Sales]]&gt;=70, TableSales[[#This Row],[Sales]]*0.05, "No commission")</f>
        <v>No commission</v>
      </c>
      <c r="K443" s="60" t="str">
        <f>LEFT($J$7,6)&amp;TableSales[[#This Row],[Salesperson]]&amp;RIGHT($K$7,10)</f>
        <v>sales.LAUREN@email.com</v>
      </c>
      <c r="L443" s="60"/>
    </row>
    <row r="444" spans="2:12" ht="15.6">
      <c r="B444" s="27">
        <v>43648</v>
      </c>
      <c r="C444" s="22" t="s">
        <v>24</v>
      </c>
      <c r="D444" s="22" t="s">
        <v>21</v>
      </c>
      <c r="E444" s="22" t="s">
        <v>15</v>
      </c>
      <c r="F444" s="22" t="s">
        <v>10</v>
      </c>
      <c r="G444" s="19">
        <v>1</v>
      </c>
      <c r="H444" s="29">
        <v>13</v>
      </c>
      <c r="I444" s="59"/>
      <c r="J444" s="59" t="str">
        <f>IF(TableSales[[#This Row],[Sales]]&gt;=70, TableSales[[#This Row],[Sales]]*0.05, "No commission")</f>
        <v>No commission</v>
      </c>
      <c r="K444" s="60" t="str">
        <f>LEFT($J$7,6)&amp;TableSales[[#This Row],[Salesperson]]&amp;RIGHT($K$7,10)</f>
        <v>sales.EDGAR@email.com</v>
      </c>
      <c r="L444" s="60"/>
    </row>
    <row r="445" spans="2:12" ht="15.6">
      <c r="B445" s="28">
        <v>43649</v>
      </c>
      <c r="C445" s="23" t="s">
        <v>13</v>
      </c>
      <c r="D445" s="23" t="s">
        <v>21</v>
      </c>
      <c r="E445" s="23" t="s">
        <v>25</v>
      </c>
      <c r="F445" s="23" t="s">
        <v>14</v>
      </c>
      <c r="G445" s="20">
        <v>7</v>
      </c>
      <c r="H445" s="30">
        <v>105</v>
      </c>
      <c r="I445" s="62"/>
      <c r="J445" s="59">
        <f>IF(TableSales[[#This Row],[Sales]]&gt;=70, TableSales[[#This Row],[Sales]]*0.05, "No commission")</f>
        <v>5.25</v>
      </c>
      <c r="K445" s="60" t="str">
        <f>LEFT($J$7,6)&amp;TableSales[[#This Row],[Salesperson]]&amp;RIGHT($K$7,10)</f>
        <v>sales.PETE@email.com</v>
      </c>
      <c r="L445" s="60"/>
    </row>
    <row r="446" spans="2:12" ht="15.6">
      <c r="B446" s="27">
        <v>43651</v>
      </c>
      <c r="C446" s="22" t="s">
        <v>13</v>
      </c>
      <c r="D446" s="22" t="s">
        <v>21</v>
      </c>
      <c r="E446" s="22" t="s">
        <v>15</v>
      </c>
      <c r="F446" s="22" t="s">
        <v>10</v>
      </c>
      <c r="G446" s="19">
        <v>7</v>
      </c>
      <c r="H446" s="29">
        <v>91</v>
      </c>
      <c r="I446" s="59"/>
      <c r="J446" s="59">
        <f>IF(TableSales[[#This Row],[Sales]]&gt;=70, TableSales[[#This Row],[Sales]]*0.05, "No commission")</f>
        <v>4.55</v>
      </c>
      <c r="K446" s="60" t="str">
        <f>LEFT($J$7,6)&amp;TableSales[[#This Row],[Salesperson]]&amp;RIGHT($K$7,10)</f>
        <v>sales.PETE@email.com</v>
      </c>
      <c r="L446" s="60"/>
    </row>
    <row r="447" spans="2:12" ht="15.6">
      <c r="B447" s="28">
        <v>43653</v>
      </c>
      <c r="C447" s="23" t="s">
        <v>13</v>
      </c>
      <c r="D447" s="23" t="s">
        <v>12</v>
      </c>
      <c r="E447" s="23" t="s">
        <v>25</v>
      </c>
      <c r="F447" s="23" t="s">
        <v>18</v>
      </c>
      <c r="G447" s="20">
        <v>3</v>
      </c>
      <c r="H447" s="30">
        <v>45</v>
      </c>
      <c r="I447" s="62"/>
      <c r="J447" s="59" t="str">
        <f>IF(TableSales[[#This Row],[Sales]]&gt;=70, TableSales[[#This Row],[Sales]]*0.05, "No commission")</f>
        <v>No commission</v>
      </c>
      <c r="K447" s="60" t="str">
        <f>LEFT($J$7,6)&amp;TableSales[[#This Row],[Salesperson]]&amp;RIGHT($K$7,10)</f>
        <v>sales.PETE@email.com</v>
      </c>
      <c r="L447" s="60"/>
    </row>
    <row r="448" spans="2:12" ht="15.6">
      <c r="B448" s="27">
        <v>43655</v>
      </c>
      <c r="C448" s="22" t="s">
        <v>22</v>
      </c>
      <c r="D448" s="22" t="s">
        <v>12</v>
      </c>
      <c r="E448" s="22" t="s">
        <v>19</v>
      </c>
      <c r="F448" s="22" t="s">
        <v>18</v>
      </c>
      <c r="G448" s="19">
        <v>1</v>
      </c>
      <c r="H448" s="29">
        <v>14</v>
      </c>
      <c r="I448" s="59"/>
      <c r="J448" s="59" t="str">
        <f>IF(TableSales[[#This Row],[Sales]]&gt;=70, TableSales[[#This Row],[Sales]]*0.05, "No commission")</f>
        <v>No commission</v>
      </c>
      <c r="K448" s="60" t="str">
        <f>LEFT($J$7,6)&amp;TableSales[[#This Row],[Salesperson]]&amp;RIGHT($K$7,10)</f>
        <v>sales.MARIO@email.com</v>
      </c>
      <c r="L448" s="60"/>
    </row>
    <row r="449" spans="2:12" ht="15.6">
      <c r="B449" s="28">
        <v>43657</v>
      </c>
      <c r="C449" s="23" t="s">
        <v>13</v>
      </c>
      <c r="D449" s="23" t="s">
        <v>16</v>
      </c>
      <c r="E449" s="23" t="s">
        <v>15</v>
      </c>
      <c r="F449" s="23" t="s">
        <v>18</v>
      </c>
      <c r="G449" s="20">
        <v>8</v>
      </c>
      <c r="H449" s="30">
        <v>104</v>
      </c>
      <c r="I449" s="62"/>
      <c r="J449" s="59">
        <f>IF(TableSales[[#This Row],[Sales]]&gt;=70, TableSales[[#This Row],[Sales]]*0.05, "No commission")</f>
        <v>5.2</v>
      </c>
      <c r="K449" s="60" t="str">
        <f>LEFT($J$7,6)&amp;TableSales[[#This Row],[Salesperson]]&amp;RIGHT($K$7,10)</f>
        <v>sales.PETE@email.com</v>
      </c>
      <c r="L449" s="60"/>
    </row>
    <row r="450" spans="2:12" ht="15.6">
      <c r="B450" s="27">
        <v>43658</v>
      </c>
      <c r="C450" s="22" t="s">
        <v>20</v>
      </c>
      <c r="D450" s="22" t="s">
        <v>21</v>
      </c>
      <c r="E450" s="22" t="s">
        <v>11</v>
      </c>
      <c r="F450" s="22" t="s">
        <v>10</v>
      </c>
      <c r="G450" s="19">
        <v>2</v>
      </c>
      <c r="H450" s="29">
        <v>24</v>
      </c>
      <c r="I450" s="59"/>
      <c r="J450" s="59" t="str">
        <f>IF(TableSales[[#This Row],[Sales]]&gt;=70, TableSales[[#This Row],[Sales]]*0.05, "No commission")</f>
        <v>No commission</v>
      </c>
      <c r="K450" s="60" t="str">
        <f>LEFT($J$7,6)&amp;TableSales[[#This Row],[Salesperson]]&amp;RIGHT($K$7,10)</f>
        <v>sales.HARRY@email.com</v>
      </c>
      <c r="L450" s="60"/>
    </row>
    <row r="451" spans="2:12" ht="15.6">
      <c r="B451" s="28">
        <v>43661</v>
      </c>
      <c r="C451" s="23" t="s">
        <v>24</v>
      </c>
      <c r="D451" s="23" t="s">
        <v>12</v>
      </c>
      <c r="E451" s="23" t="s">
        <v>19</v>
      </c>
      <c r="F451" s="23" t="s">
        <v>14</v>
      </c>
      <c r="G451" s="20">
        <v>7</v>
      </c>
      <c r="H451" s="30">
        <v>98</v>
      </c>
      <c r="I451" s="62"/>
      <c r="J451" s="59">
        <f>IF(TableSales[[#This Row],[Sales]]&gt;=70, TableSales[[#This Row],[Sales]]*0.05, "No commission")</f>
        <v>4.9000000000000004</v>
      </c>
      <c r="K451" s="60" t="str">
        <f>LEFT($J$7,6)&amp;TableSales[[#This Row],[Salesperson]]&amp;RIGHT($K$7,10)</f>
        <v>sales.EDGAR@email.com</v>
      </c>
      <c r="L451" s="60"/>
    </row>
    <row r="452" spans="2:12" ht="15.6">
      <c r="B452" s="27">
        <v>43663</v>
      </c>
      <c r="C452" s="22" t="s">
        <v>22</v>
      </c>
      <c r="D452" s="22" t="s">
        <v>16</v>
      </c>
      <c r="E452" s="22" t="s">
        <v>11</v>
      </c>
      <c r="F452" s="22" t="s">
        <v>18</v>
      </c>
      <c r="G452" s="19">
        <v>1</v>
      </c>
      <c r="H452" s="29">
        <v>12</v>
      </c>
      <c r="I452" s="59"/>
      <c r="J452" s="59" t="str">
        <f>IF(TableSales[[#This Row],[Sales]]&gt;=70, TableSales[[#This Row],[Sales]]*0.05, "No commission")</f>
        <v>No commission</v>
      </c>
      <c r="K452" s="60" t="str">
        <f>LEFT($J$7,6)&amp;TableSales[[#This Row],[Salesperson]]&amp;RIGHT($K$7,10)</f>
        <v>sales.MARIO@email.com</v>
      </c>
      <c r="L452" s="60"/>
    </row>
    <row r="453" spans="2:12" ht="15.6">
      <c r="B453" s="28">
        <v>43665</v>
      </c>
      <c r="C453" s="23" t="s">
        <v>22</v>
      </c>
      <c r="D453" s="23" t="s">
        <v>23</v>
      </c>
      <c r="E453" s="23" t="s">
        <v>25</v>
      </c>
      <c r="F453" s="23" t="s">
        <v>10</v>
      </c>
      <c r="G453" s="20">
        <v>7</v>
      </c>
      <c r="H453" s="30">
        <v>105</v>
      </c>
      <c r="I453" s="62"/>
      <c r="J453" s="59">
        <f>IF(TableSales[[#This Row],[Sales]]&gt;=70, TableSales[[#This Row],[Sales]]*0.05, "No commission")</f>
        <v>5.25</v>
      </c>
      <c r="K453" s="60" t="str">
        <f>LEFT($J$7,6)&amp;TableSales[[#This Row],[Salesperson]]&amp;RIGHT($K$7,10)</f>
        <v>sales.MARIO@email.com</v>
      </c>
      <c r="L453" s="60"/>
    </row>
    <row r="454" spans="2:12" ht="15.6">
      <c r="B454" s="27">
        <v>43668</v>
      </c>
      <c r="C454" s="22" t="s">
        <v>17</v>
      </c>
      <c r="D454" s="22" t="s">
        <v>12</v>
      </c>
      <c r="E454" s="22" t="s">
        <v>25</v>
      </c>
      <c r="F454" s="22" t="s">
        <v>18</v>
      </c>
      <c r="G454" s="19">
        <v>6</v>
      </c>
      <c r="H454" s="29">
        <v>90</v>
      </c>
      <c r="I454" s="59"/>
      <c r="J454" s="59">
        <f>IF(TableSales[[#This Row],[Sales]]&gt;=70, TableSales[[#This Row],[Sales]]*0.05, "No commission")</f>
        <v>4.5</v>
      </c>
      <c r="K454" s="60" t="str">
        <f>LEFT($J$7,6)&amp;TableSales[[#This Row],[Salesperson]]&amp;RIGHT($K$7,10)</f>
        <v>sales.LAUREN@email.com</v>
      </c>
      <c r="L454" s="60"/>
    </row>
    <row r="455" spans="2:12" ht="15.6">
      <c r="B455" s="28">
        <v>43669</v>
      </c>
      <c r="C455" s="23" t="s">
        <v>17</v>
      </c>
      <c r="D455" s="23" t="s">
        <v>21</v>
      </c>
      <c r="E455" s="23" t="s">
        <v>25</v>
      </c>
      <c r="F455" s="23" t="s">
        <v>10</v>
      </c>
      <c r="G455" s="20">
        <v>7</v>
      </c>
      <c r="H455" s="30">
        <v>105</v>
      </c>
      <c r="I455" s="62"/>
      <c r="J455" s="59">
        <f>IF(TableSales[[#This Row],[Sales]]&gt;=70, TableSales[[#This Row],[Sales]]*0.05, "No commission")</f>
        <v>5.25</v>
      </c>
      <c r="K455" s="60" t="str">
        <f>LEFT($J$7,6)&amp;TableSales[[#This Row],[Salesperson]]&amp;RIGHT($K$7,10)</f>
        <v>sales.LAUREN@email.com</v>
      </c>
      <c r="L455" s="60"/>
    </row>
    <row r="456" spans="2:12" ht="15.6">
      <c r="B456" s="27">
        <v>43670</v>
      </c>
      <c r="C456" s="22" t="s">
        <v>20</v>
      </c>
      <c r="D456" s="22" t="s">
        <v>21</v>
      </c>
      <c r="E456" s="22" t="s">
        <v>25</v>
      </c>
      <c r="F456" s="22" t="s">
        <v>10</v>
      </c>
      <c r="G456" s="19">
        <v>4</v>
      </c>
      <c r="H456" s="29">
        <v>60</v>
      </c>
      <c r="I456" s="59"/>
      <c r="J456" s="59" t="str">
        <f>IF(TableSales[[#This Row],[Sales]]&gt;=70, TableSales[[#This Row],[Sales]]*0.05, "No commission")</f>
        <v>No commission</v>
      </c>
      <c r="K456" s="60" t="str">
        <f>LEFT($J$7,6)&amp;TableSales[[#This Row],[Salesperson]]&amp;RIGHT($K$7,10)</f>
        <v>sales.HARRY@email.com</v>
      </c>
      <c r="L456" s="60"/>
    </row>
    <row r="457" spans="2:12" ht="15.6">
      <c r="B457" s="28">
        <v>43673</v>
      </c>
      <c r="C457" s="23" t="s">
        <v>22</v>
      </c>
      <c r="D457" s="23" t="s">
        <v>16</v>
      </c>
      <c r="E457" s="23" t="s">
        <v>25</v>
      </c>
      <c r="F457" s="23" t="s">
        <v>18</v>
      </c>
      <c r="G457" s="20">
        <v>3</v>
      </c>
      <c r="H457" s="30">
        <v>45</v>
      </c>
      <c r="I457" s="62"/>
      <c r="J457" s="59" t="str">
        <f>IF(TableSales[[#This Row],[Sales]]&gt;=70, TableSales[[#This Row],[Sales]]*0.05, "No commission")</f>
        <v>No commission</v>
      </c>
      <c r="K457" s="60" t="str">
        <f>LEFT($J$7,6)&amp;TableSales[[#This Row],[Salesperson]]&amp;RIGHT($K$7,10)</f>
        <v>sales.MARIO@email.com</v>
      </c>
      <c r="L457" s="60"/>
    </row>
    <row r="458" spans="2:12" ht="15.6">
      <c r="B458" s="27">
        <v>43676</v>
      </c>
      <c r="C458" s="22" t="s">
        <v>24</v>
      </c>
      <c r="D458" s="22" t="s">
        <v>16</v>
      </c>
      <c r="E458" s="22" t="s">
        <v>25</v>
      </c>
      <c r="F458" s="22" t="s">
        <v>10</v>
      </c>
      <c r="G458" s="19">
        <v>6</v>
      </c>
      <c r="H458" s="29">
        <v>90</v>
      </c>
      <c r="I458" s="59"/>
      <c r="J458" s="59">
        <f>IF(TableSales[[#This Row],[Sales]]&gt;=70, TableSales[[#This Row],[Sales]]*0.05, "No commission")</f>
        <v>4.5</v>
      </c>
      <c r="K458" s="60" t="str">
        <f>LEFT($J$7,6)&amp;TableSales[[#This Row],[Salesperson]]&amp;RIGHT($K$7,10)</f>
        <v>sales.EDGAR@email.com</v>
      </c>
      <c r="L458" s="60"/>
    </row>
    <row r="459" spans="2:12" ht="15.6">
      <c r="B459" s="28">
        <v>43678</v>
      </c>
      <c r="C459" s="23" t="s">
        <v>22</v>
      </c>
      <c r="D459" s="23" t="s">
        <v>21</v>
      </c>
      <c r="E459" s="23" t="s">
        <v>11</v>
      </c>
      <c r="F459" s="23" t="s">
        <v>18</v>
      </c>
      <c r="G459" s="20">
        <v>8</v>
      </c>
      <c r="H459" s="30">
        <v>96</v>
      </c>
      <c r="I459" s="62"/>
      <c r="J459" s="59">
        <f>IF(TableSales[[#This Row],[Sales]]&gt;=70, TableSales[[#This Row],[Sales]]*0.05, "No commission")</f>
        <v>4.8000000000000007</v>
      </c>
      <c r="K459" s="60" t="str">
        <f>LEFT($J$7,6)&amp;TableSales[[#This Row],[Salesperson]]&amp;RIGHT($K$7,10)</f>
        <v>sales.MARIO@email.com</v>
      </c>
      <c r="L459" s="60"/>
    </row>
    <row r="460" spans="2:12" ht="15.6">
      <c r="B460" s="27">
        <v>43680</v>
      </c>
      <c r="C460" s="22" t="s">
        <v>24</v>
      </c>
      <c r="D460" s="22" t="s">
        <v>16</v>
      </c>
      <c r="E460" s="22" t="s">
        <v>15</v>
      </c>
      <c r="F460" s="22" t="s">
        <v>10</v>
      </c>
      <c r="G460" s="19">
        <v>6</v>
      </c>
      <c r="H460" s="29">
        <v>120</v>
      </c>
      <c r="I460" s="59"/>
      <c r="J460" s="59">
        <f>IF(TableSales[[#This Row],[Sales]]&gt;=70, TableSales[[#This Row],[Sales]]*0.05, "No commission")</f>
        <v>6</v>
      </c>
      <c r="K460" s="60" t="str">
        <f>LEFT($J$7,6)&amp;TableSales[[#This Row],[Salesperson]]&amp;RIGHT($K$7,10)</f>
        <v>sales.EDGAR@email.com</v>
      </c>
      <c r="L460" s="60"/>
    </row>
    <row r="461" spans="2:12" ht="15.6">
      <c r="B461" s="65"/>
      <c r="C461" s="66"/>
      <c r="D461" s="66"/>
      <c r="E461" s="66"/>
      <c r="F461" s="66"/>
      <c r="G461" s="67"/>
      <c r="H461" s="68">
        <f>SUBTOTAL(109,TableSales[Sales])</f>
        <v>26398</v>
      </c>
      <c r="I461" s="69"/>
      <c r="J461" s="68"/>
      <c r="K461" s="70"/>
      <c r="L461" s="70"/>
    </row>
  </sheetData>
  <mergeCells count="6">
    <mergeCell ref="N36:R36"/>
    <mergeCell ref="A1:AH4"/>
    <mergeCell ref="A5:AH5"/>
    <mergeCell ref="N33:R33"/>
    <mergeCell ref="N34:R34"/>
    <mergeCell ref="N35:R35"/>
  </mergeCells>
  <phoneticPr fontId="16" type="noConversion"/>
  <hyperlinks>
    <hyperlink ref="K7" r:id="rId4" xr:uid="{86315521-AA07-4F82-AE77-2D7E8FAA658C}"/>
  </hyperlinks>
  <pageMargins left="0.7" right="0.7" top="0.75" bottom="0.75" header="0.3" footer="0.3"/>
  <pageSetup orientation="portrait" r:id="rId5"/>
  <drawing r:id="rId6"/>
  <legacyDrawing r:id="rId7"/>
  <tableParts count="1">
    <tablePart r:id="rId8"/>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0EDD4-2F89-423A-8199-890E44DE5783}">
  <dimension ref="A1:AB37"/>
  <sheetViews>
    <sheetView topLeftCell="A4" zoomScale="115" zoomScaleNormal="115" workbookViewId="0">
      <selection activeCell="B8" sqref="B8:B31"/>
    </sheetView>
  </sheetViews>
  <sheetFormatPr baseColWidth="10" defaultColWidth="8.88671875" defaultRowHeight="14.4"/>
  <cols>
    <col min="1" max="1" width="12.88671875" customWidth="1"/>
    <col min="2" max="2" width="13" customWidth="1"/>
    <col min="3" max="3" width="20.44140625" customWidth="1"/>
    <col min="4" max="4" width="15.88671875" customWidth="1"/>
    <col min="5" max="5" width="8" customWidth="1"/>
    <col min="6" max="6" width="18.109375" customWidth="1"/>
  </cols>
  <sheetData>
    <row r="1" spans="1:28">
      <c r="A1" s="78" t="s">
        <v>26</v>
      </c>
      <c r="B1" s="79"/>
      <c r="C1" s="79"/>
      <c r="D1" s="79"/>
      <c r="E1" s="79"/>
      <c r="F1" s="79"/>
      <c r="G1" s="79"/>
      <c r="H1" s="79"/>
      <c r="I1" s="79"/>
      <c r="J1" s="79"/>
      <c r="K1" s="79"/>
      <c r="L1" s="79"/>
      <c r="M1" s="79"/>
      <c r="N1" s="79"/>
      <c r="O1" s="79"/>
      <c r="P1" s="79"/>
      <c r="Q1" s="79"/>
      <c r="R1" s="79"/>
      <c r="S1" s="79"/>
      <c r="T1" s="79"/>
      <c r="U1" s="79"/>
      <c r="V1" s="79"/>
      <c r="W1" s="79"/>
      <c r="X1" s="79"/>
      <c r="Y1" s="79"/>
      <c r="Z1" s="79"/>
      <c r="AA1" s="79"/>
      <c r="AB1" s="80"/>
    </row>
    <row r="2" spans="1:28">
      <c r="A2" s="81"/>
      <c r="B2" s="82"/>
      <c r="C2" s="82"/>
      <c r="D2" s="82"/>
      <c r="E2" s="82"/>
      <c r="F2" s="82"/>
      <c r="G2" s="82"/>
      <c r="H2" s="82"/>
      <c r="I2" s="82"/>
      <c r="J2" s="82"/>
      <c r="K2" s="82"/>
      <c r="L2" s="82"/>
      <c r="M2" s="82"/>
      <c r="N2" s="82"/>
      <c r="O2" s="82"/>
      <c r="P2" s="82"/>
      <c r="Q2" s="82"/>
      <c r="R2" s="82"/>
      <c r="S2" s="82"/>
      <c r="T2" s="82"/>
      <c r="U2" s="82"/>
      <c r="V2" s="82"/>
      <c r="W2" s="82"/>
      <c r="X2" s="82"/>
      <c r="Y2" s="82"/>
      <c r="Z2" s="82"/>
      <c r="AA2" s="82"/>
      <c r="AB2" s="83"/>
    </row>
    <row r="3" spans="1:28">
      <c r="A3" s="81"/>
      <c r="B3" s="82"/>
      <c r="C3" s="82"/>
      <c r="D3" s="82"/>
      <c r="E3" s="82"/>
      <c r="F3" s="82"/>
      <c r="G3" s="82"/>
      <c r="H3" s="82"/>
      <c r="I3" s="82"/>
      <c r="J3" s="82"/>
      <c r="K3" s="82"/>
      <c r="L3" s="82"/>
      <c r="M3" s="82"/>
      <c r="N3" s="82"/>
      <c r="O3" s="82"/>
      <c r="P3" s="82"/>
      <c r="Q3" s="82"/>
      <c r="R3" s="82"/>
      <c r="S3" s="82"/>
      <c r="T3" s="82"/>
      <c r="U3" s="82"/>
      <c r="V3" s="82"/>
      <c r="W3" s="82"/>
      <c r="X3" s="82"/>
      <c r="Y3" s="82"/>
      <c r="Z3" s="82"/>
      <c r="AA3" s="82"/>
      <c r="AB3" s="83"/>
    </row>
    <row r="4" spans="1:28">
      <c r="A4" s="84"/>
      <c r="B4" s="85"/>
      <c r="C4" s="85"/>
      <c r="D4" s="85"/>
      <c r="E4" s="85"/>
      <c r="F4" s="85"/>
      <c r="G4" s="85"/>
      <c r="H4" s="85"/>
      <c r="I4" s="85"/>
      <c r="J4" s="85"/>
      <c r="K4" s="85"/>
      <c r="L4" s="85"/>
      <c r="M4" s="85"/>
      <c r="N4" s="85"/>
      <c r="O4" s="85"/>
      <c r="P4" s="85"/>
      <c r="Q4" s="85"/>
      <c r="R4" s="85"/>
      <c r="S4" s="85"/>
      <c r="T4" s="85"/>
      <c r="U4" s="85"/>
      <c r="V4" s="85"/>
      <c r="W4" s="85"/>
      <c r="X4" s="85"/>
      <c r="Y4" s="85"/>
      <c r="Z4" s="85"/>
      <c r="AA4" s="85"/>
      <c r="AB4" s="86"/>
    </row>
    <row r="5" spans="1:28" ht="20.399999999999999">
      <c r="A5" s="87" t="s">
        <v>1</v>
      </c>
      <c r="B5" s="87"/>
      <c r="C5" s="87"/>
      <c r="D5" s="87"/>
      <c r="E5" s="87"/>
      <c r="F5" s="87"/>
      <c r="G5" s="87"/>
      <c r="H5" s="87"/>
      <c r="I5" s="87"/>
      <c r="J5" s="87"/>
      <c r="K5" s="87"/>
      <c r="L5" s="87"/>
      <c r="M5" s="87"/>
      <c r="N5" s="87"/>
      <c r="O5" s="87"/>
      <c r="P5" s="87"/>
      <c r="Q5" s="87"/>
      <c r="R5" s="87"/>
      <c r="S5" s="87"/>
      <c r="T5" s="87"/>
      <c r="U5" s="87"/>
      <c r="V5" s="87"/>
      <c r="W5" s="87"/>
      <c r="X5" s="87"/>
      <c r="Y5" s="87"/>
      <c r="Z5" s="87"/>
      <c r="AA5" s="87"/>
      <c r="AB5" s="87"/>
    </row>
    <row r="6" spans="1:28">
      <c r="A6" s="35" t="s">
        <v>26</v>
      </c>
      <c r="B6" s="35"/>
      <c r="C6" s="35"/>
    </row>
    <row r="7" spans="1:28">
      <c r="A7" s="2" t="s">
        <v>27</v>
      </c>
      <c r="B7" s="2" t="s">
        <v>28</v>
      </c>
      <c r="C7" s="2" t="s">
        <v>29</v>
      </c>
      <c r="D7" s="2" t="s">
        <v>30</v>
      </c>
      <c r="E7" s="2" t="s">
        <v>31</v>
      </c>
      <c r="F7" s="2" t="s">
        <v>32</v>
      </c>
      <c r="G7" s="36"/>
      <c r="H7" s="37"/>
      <c r="I7" s="38"/>
      <c r="K7" s="2" t="s">
        <v>220</v>
      </c>
    </row>
    <row r="8" spans="1:28" s="2" customFormat="1">
      <c r="A8" s="2" t="s">
        <v>126</v>
      </c>
      <c r="B8" s="2" t="s">
        <v>127</v>
      </c>
      <c r="C8" s="2" t="s">
        <v>128</v>
      </c>
      <c r="D8" s="2" t="s">
        <v>129</v>
      </c>
      <c r="E8" s="2">
        <v>41</v>
      </c>
      <c r="F8" s="2" t="s">
        <v>130</v>
      </c>
      <c r="G8" s="39"/>
      <c r="H8" s="40"/>
      <c r="I8" s="41"/>
      <c r="K8" s="2" t="s">
        <v>221</v>
      </c>
    </row>
    <row r="9" spans="1:28" s="2" customFormat="1">
      <c r="A9" s="2" t="s">
        <v>131</v>
      </c>
      <c r="B9" s="2" t="s">
        <v>132</v>
      </c>
      <c r="C9" s="2" t="s">
        <v>133</v>
      </c>
      <c r="D9" s="2" t="s">
        <v>134</v>
      </c>
      <c r="E9" s="2">
        <v>32</v>
      </c>
      <c r="F9" s="2" t="s">
        <v>135</v>
      </c>
      <c r="G9" s="39"/>
      <c r="H9" s="40"/>
      <c r="I9" s="41"/>
    </row>
    <row r="10" spans="1:28" s="2" customFormat="1">
      <c r="A10" s="2" t="s">
        <v>136</v>
      </c>
      <c r="B10" s="2" t="s">
        <v>137</v>
      </c>
      <c r="C10" s="2" t="s">
        <v>138</v>
      </c>
      <c r="D10" s="2" t="s">
        <v>139</v>
      </c>
      <c r="E10" s="2">
        <v>35</v>
      </c>
      <c r="F10" s="2" t="s">
        <v>140</v>
      </c>
      <c r="G10" s="39"/>
      <c r="H10" s="40"/>
      <c r="I10" s="41"/>
    </row>
    <row r="11" spans="1:28" s="2" customFormat="1">
      <c r="A11" s="2" t="s">
        <v>141</v>
      </c>
      <c r="B11" s="2" t="s">
        <v>142</v>
      </c>
      <c r="C11" s="2" t="s">
        <v>143</v>
      </c>
      <c r="D11" s="2" t="s">
        <v>129</v>
      </c>
      <c r="E11" s="2">
        <v>45</v>
      </c>
      <c r="F11" s="2" t="s">
        <v>144</v>
      </c>
      <c r="G11" s="39"/>
      <c r="H11" s="40"/>
      <c r="I11" s="41"/>
    </row>
    <row r="12" spans="1:28" s="2" customFormat="1">
      <c r="A12" s="2" t="s">
        <v>145</v>
      </c>
      <c r="B12" s="2" t="s">
        <v>96</v>
      </c>
      <c r="C12" s="2" t="s">
        <v>146</v>
      </c>
      <c r="D12" s="2" t="s">
        <v>129</v>
      </c>
      <c r="E12" s="2">
        <v>50</v>
      </c>
      <c r="F12" s="2" t="s">
        <v>147</v>
      </c>
      <c r="G12" s="39"/>
      <c r="H12" s="40"/>
      <c r="I12" s="41"/>
    </row>
    <row r="13" spans="1:28" s="2" customFormat="1">
      <c r="A13" s="2" t="s">
        <v>148</v>
      </c>
      <c r="B13" s="2" t="s">
        <v>149</v>
      </c>
      <c r="C13" s="2" t="s">
        <v>150</v>
      </c>
      <c r="D13" s="2" t="s">
        <v>134</v>
      </c>
      <c r="E13" s="2">
        <v>38</v>
      </c>
      <c r="F13" s="2" t="s">
        <v>151</v>
      </c>
      <c r="G13" s="39"/>
      <c r="H13" s="40"/>
      <c r="I13" s="41"/>
    </row>
    <row r="14" spans="1:28" s="2" customFormat="1">
      <c r="A14" s="2" t="s">
        <v>152</v>
      </c>
      <c r="B14" s="2" t="s">
        <v>153</v>
      </c>
      <c r="C14" s="2" t="s">
        <v>154</v>
      </c>
      <c r="D14" s="2" t="s">
        <v>129</v>
      </c>
      <c r="E14" s="2">
        <v>33</v>
      </c>
      <c r="F14" s="2" t="s">
        <v>155</v>
      </c>
      <c r="G14" s="39"/>
      <c r="H14" s="40"/>
      <c r="I14" s="41"/>
    </row>
    <row r="15" spans="1:28" s="2" customFormat="1">
      <c r="A15" s="2" t="s">
        <v>156</v>
      </c>
      <c r="B15" s="2" t="s">
        <v>157</v>
      </c>
      <c r="C15" s="2" t="s">
        <v>158</v>
      </c>
      <c r="D15" s="2" t="s">
        <v>134</v>
      </c>
      <c r="E15" s="2">
        <v>28</v>
      </c>
      <c r="F15" s="2" t="s">
        <v>159</v>
      </c>
      <c r="G15" s="39"/>
      <c r="H15" s="40"/>
      <c r="I15" s="41"/>
    </row>
    <row r="16" spans="1:28" s="2" customFormat="1">
      <c r="A16" s="2" t="s">
        <v>160</v>
      </c>
      <c r="B16" s="2" t="s">
        <v>161</v>
      </c>
      <c r="C16" s="2" t="s">
        <v>162</v>
      </c>
      <c r="D16" s="2" t="s">
        <v>129</v>
      </c>
      <c r="E16" s="2">
        <v>42</v>
      </c>
      <c r="F16" s="2" t="s">
        <v>163</v>
      </c>
      <c r="G16" s="39"/>
      <c r="H16" s="40"/>
      <c r="I16" s="41"/>
    </row>
    <row r="17" spans="1:9" s="2" customFormat="1">
      <c r="A17" s="2" t="s">
        <v>164</v>
      </c>
      <c r="B17" s="2" t="s">
        <v>165</v>
      </c>
      <c r="C17" s="2" t="s">
        <v>166</v>
      </c>
      <c r="D17" s="2" t="s">
        <v>139</v>
      </c>
      <c r="E17" s="2">
        <v>45</v>
      </c>
      <c r="F17" s="2" t="s">
        <v>135</v>
      </c>
      <c r="G17" s="39"/>
      <c r="H17" s="40"/>
      <c r="I17" s="41"/>
    </row>
    <row r="18" spans="1:9" s="2" customFormat="1">
      <c r="A18" s="2" t="s">
        <v>167</v>
      </c>
      <c r="B18" s="2" t="s">
        <v>168</v>
      </c>
      <c r="C18" s="2" t="s">
        <v>169</v>
      </c>
      <c r="D18" s="2" t="s">
        <v>134</v>
      </c>
      <c r="E18" s="2">
        <v>36</v>
      </c>
      <c r="F18" s="2" t="s">
        <v>170</v>
      </c>
      <c r="G18" s="39"/>
      <c r="H18" s="40"/>
      <c r="I18" s="41"/>
    </row>
    <row r="19" spans="1:9" s="2" customFormat="1">
      <c r="A19" s="2" t="s">
        <v>171</v>
      </c>
      <c r="B19" s="2" t="s">
        <v>172</v>
      </c>
      <c r="C19" s="2" t="s">
        <v>173</v>
      </c>
      <c r="D19" s="2" t="s">
        <v>129</v>
      </c>
      <c r="E19" s="2">
        <v>39</v>
      </c>
      <c r="F19" s="2" t="s">
        <v>174</v>
      </c>
      <c r="G19" s="39"/>
      <c r="H19" s="40"/>
      <c r="I19" s="41"/>
    </row>
    <row r="20" spans="1:9" s="2" customFormat="1">
      <c r="A20" s="2" t="s">
        <v>175</v>
      </c>
      <c r="B20" s="2" t="s">
        <v>176</v>
      </c>
      <c r="C20" s="2" t="s">
        <v>177</v>
      </c>
      <c r="D20" s="2" t="s">
        <v>134</v>
      </c>
      <c r="E20" s="2">
        <v>31</v>
      </c>
      <c r="F20" s="2" t="s">
        <v>178</v>
      </c>
      <c r="G20" s="39"/>
      <c r="H20" s="40"/>
      <c r="I20" s="41"/>
    </row>
    <row r="21" spans="1:9" s="2" customFormat="1">
      <c r="A21" s="2" t="s">
        <v>179</v>
      </c>
      <c r="B21" s="2" t="s">
        <v>102</v>
      </c>
      <c r="C21" s="2" t="s">
        <v>180</v>
      </c>
      <c r="D21" s="2" t="s">
        <v>129</v>
      </c>
      <c r="E21" s="2">
        <v>48</v>
      </c>
      <c r="F21" s="2" t="s">
        <v>181</v>
      </c>
      <c r="G21" s="39"/>
      <c r="H21" s="40"/>
      <c r="I21" s="41"/>
    </row>
    <row r="22" spans="1:9" s="2" customFormat="1">
      <c r="A22" s="2" t="s">
        <v>182</v>
      </c>
      <c r="B22" s="2" t="s">
        <v>183</v>
      </c>
      <c r="C22" s="2" t="s">
        <v>184</v>
      </c>
      <c r="D22" s="2" t="s">
        <v>134</v>
      </c>
      <c r="E22" s="2">
        <v>29</v>
      </c>
      <c r="F22" s="2" t="s">
        <v>185</v>
      </c>
      <c r="G22" s="39"/>
      <c r="H22" s="40"/>
      <c r="I22" s="41"/>
    </row>
    <row r="23" spans="1:9" s="2" customFormat="1">
      <c r="A23" s="2" t="s">
        <v>186</v>
      </c>
      <c r="B23" s="2" t="s">
        <v>187</v>
      </c>
      <c r="C23" s="2" t="s">
        <v>188</v>
      </c>
      <c r="D23" s="2" t="s">
        <v>129</v>
      </c>
      <c r="E23" s="2">
        <v>55</v>
      </c>
      <c r="F23" s="2" t="s">
        <v>189</v>
      </c>
      <c r="G23" s="39"/>
      <c r="H23" s="40"/>
      <c r="I23" s="41"/>
    </row>
    <row r="24" spans="1:9" s="2" customFormat="1">
      <c r="A24" s="2" t="s">
        <v>190</v>
      </c>
      <c r="B24" s="2" t="s">
        <v>191</v>
      </c>
      <c r="C24" s="2" t="s">
        <v>192</v>
      </c>
      <c r="D24" s="2" t="s">
        <v>139</v>
      </c>
      <c r="E24" s="2">
        <v>41</v>
      </c>
      <c r="F24" s="2" t="s">
        <v>144</v>
      </c>
      <c r="G24" s="42"/>
      <c r="H24" s="43"/>
      <c r="I24" s="44"/>
    </row>
    <row r="25" spans="1:9" s="2" customFormat="1">
      <c r="A25" s="2" t="s">
        <v>193</v>
      </c>
      <c r="B25" s="2" t="s">
        <v>194</v>
      </c>
      <c r="C25" s="2" t="s">
        <v>195</v>
      </c>
      <c r="D25" s="2" t="s">
        <v>129</v>
      </c>
      <c r="E25" s="2">
        <v>37</v>
      </c>
      <c r="F25" s="2" t="s">
        <v>196</v>
      </c>
    </row>
    <row r="26" spans="1:9" s="2" customFormat="1">
      <c r="A26" s="2" t="s">
        <v>197</v>
      </c>
      <c r="B26" s="2" t="s">
        <v>198</v>
      </c>
      <c r="C26" s="2" t="s">
        <v>199</v>
      </c>
      <c r="D26" s="2" t="s">
        <v>134</v>
      </c>
      <c r="E26" s="2">
        <v>34</v>
      </c>
      <c r="F26" s="2" t="s">
        <v>200</v>
      </c>
    </row>
    <row r="27" spans="1:9" s="2" customFormat="1">
      <c r="A27" s="2" t="s">
        <v>201</v>
      </c>
      <c r="B27" s="2" t="s">
        <v>202</v>
      </c>
      <c r="C27" s="2" t="s">
        <v>203</v>
      </c>
      <c r="D27" s="2" t="s">
        <v>129</v>
      </c>
      <c r="E27" s="2">
        <v>43</v>
      </c>
      <c r="F27" s="2" t="s">
        <v>204</v>
      </c>
    </row>
    <row r="28" spans="1:9" s="2" customFormat="1">
      <c r="A28" s="2" t="s">
        <v>205</v>
      </c>
      <c r="B28" s="2" t="s">
        <v>206</v>
      </c>
      <c r="C28" s="2" t="s">
        <v>207</v>
      </c>
      <c r="D28" s="2" t="s">
        <v>134</v>
      </c>
      <c r="E28" s="2">
        <v>30</v>
      </c>
      <c r="F28" s="2" t="s">
        <v>208</v>
      </c>
    </row>
    <row r="29" spans="1:9" s="2" customFormat="1">
      <c r="A29" s="2" t="s">
        <v>209</v>
      </c>
      <c r="B29" s="2" t="s">
        <v>142</v>
      </c>
      <c r="C29" s="2" t="s">
        <v>210</v>
      </c>
      <c r="D29" s="2" t="s">
        <v>129</v>
      </c>
      <c r="E29" s="2">
        <v>47</v>
      </c>
      <c r="F29" s="2" t="s">
        <v>211</v>
      </c>
    </row>
    <row r="30" spans="1:9" s="2" customFormat="1">
      <c r="A30" s="2" t="s">
        <v>212</v>
      </c>
      <c r="B30" s="2" t="s">
        <v>213</v>
      </c>
      <c r="C30" s="2" t="s">
        <v>214</v>
      </c>
      <c r="D30" s="2" t="s">
        <v>139</v>
      </c>
      <c r="E30" s="2">
        <v>40</v>
      </c>
      <c r="F30" s="2" t="s">
        <v>215</v>
      </c>
    </row>
    <row r="31" spans="1:9" s="2" customFormat="1">
      <c r="A31" s="2" t="s">
        <v>216</v>
      </c>
      <c r="B31" s="2" t="s">
        <v>217</v>
      </c>
      <c r="C31" s="2" t="s">
        <v>218</v>
      </c>
      <c r="D31" s="2" t="s">
        <v>134</v>
      </c>
      <c r="E31" s="2">
        <v>27</v>
      </c>
      <c r="F31" s="2" t="s">
        <v>219</v>
      </c>
    </row>
    <row r="32" spans="1:9" s="2" customFormat="1"/>
    <row r="33" s="2" customFormat="1"/>
    <row r="34" s="2" customFormat="1"/>
    <row r="35" s="2" customFormat="1"/>
    <row r="36" s="2" customFormat="1"/>
    <row r="37" s="2" customFormat="1"/>
  </sheetData>
  <mergeCells count="2">
    <mergeCell ref="A1:AB4"/>
    <mergeCell ref="A5:AB5"/>
  </mergeCells>
  <pageMargins left="0.7" right="0.7" top="0.75" bottom="0.75" header="0.3" footer="0.3"/>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0CF73-2AE8-4014-B6E2-0096DA794AC4}">
  <dimension ref="A1:AB43"/>
  <sheetViews>
    <sheetView showGridLines="0" workbookViewId="0">
      <selection activeCell="K18" sqref="K18"/>
    </sheetView>
  </sheetViews>
  <sheetFormatPr baseColWidth="10" defaultColWidth="8.88671875" defaultRowHeight="14.4"/>
  <cols>
    <col min="1" max="1" width="11.33203125" bestFit="1" customWidth="1"/>
    <col min="3" max="3" width="11" bestFit="1" customWidth="1"/>
    <col min="4" max="4" width="8.88671875" bestFit="1" customWidth="1"/>
    <col min="5" max="6" width="7.88671875" bestFit="1" customWidth="1"/>
    <col min="7" max="14" width="11.109375" customWidth="1"/>
    <col min="15" max="15" width="7.88671875" bestFit="1" customWidth="1"/>
    <col min="16" max="16" width="11" bestFit="1" customWidth="1"/>
  </cols>
  <sheetData>
    <row r="1" spans="1:28" ht="15" customHeight="1">
      <c r="A1" s="94" t="s">
        <v>68</v>
      </c>
      <c r="B1" s="95"/>
      <c r="C1" s="95"/>
      <c r="D1" s="95"/>
      <c r="E1" s="95"/>
      <c r="F1" s="95"/>
      <c r="G1" s="95"/>
      <c r="H1" s="95"/>
      <c r="I1" s="95"/>
      <c r="J1" s="95"/>
      <c r="K1" s="95"/>
      <c r="L1" s="95"/>
      <c r="M1" s="95"/>
      <c r="N1" s="95"/>
      <c r="O1" s="95"/>
      <c r="P1" s="95"/>
      <c r="Q1" s="95"/>
      <c r="R1" s="95"/>
      <c r="S1" s="95"/>
      <c r="T1" s="95"/>
      <c r="U1" s="95"/>
      <c r="V1" s="95"/>
      <c r="W1" s="95"/>
      <c r="X1" s="95"/>
      <c r="Y1" s="95"/>
      <c r="Z1" s="95"/>
      <c r="AA1" s="95"/>
      <c r="AB1" s="96"/>
    </row>
    <row r="2" spans="1:28" ht="15" customHeight="1">
      <c r="A2" s="75"/>
      <c r="B2" s="76"/>
      <c r="C2" s="76"/>
      <c r="D2" s="76"/>
      <c r="E2" s="76"/>
      <c r="F2" s="76"/>
      <c r="G2" s="76"/>
      <c r="H2" s="76"/>
      <c r="I2" s="76"/>
      <c r="J2" s="76"/>
      <c r="K2" s="76"/>
      <c r="L2" s="76"/>
      <c r="M2" s="76"/>
      <c r="N2" s="76"/>
      <c r="O2" s="76"/>
      <c r="P2" s="76"/>
      <c r="Q2" s="76"/>
      <c r="R2" s="76"/>
      <c r="S2" s="76"/>
      <c r="T2" s="76"/>
      <c r="U2" s="76"/>
      <c r="V2" s="76"/>
      <c r="W2" s="76"/>
      <c r="X2" s="76"/>
      <c r="Y2" s="76"/>
      <c r="Z2" s="76"/>
      <c r="AA2" s="76"/>
      <c r="AB2" s="97"/>
    </row>
    <row r="3" spans="1:28" ht="15" customHeight="1">
      <c r="A3" s="75"/>
      <c r="B3" s="76"/>
      <c r="C3" s="76"/>
      <c r="D3" s="76"/>
      <c r="E3" s="76"/>
      <c r="F3" s="76"/>
      <c r="G3" s="76"/>
      <c r="H3" s="76"/>
      <c r="I3" s="76"/>
      <c r="J3" s="76"/>
      <c r="K3" s="76"/>
      <c r="L3" s="76"/>
      <c r="M3" s="76"/>
      <c r="N3" s="76"/>
      <c r="O3" s="76"/>
      <c r="P3" s="76"/>
      <c r="Q3" s="76"/>
      <c r="R3" s="76"/>
      <c r="S3" s="76"/>
      <c r="T3" s="76"/>
      <c r="U3" s="76"/>
      <c r="V3" s="76"/>
      <c r="W3" s="76"/>
      <c r="X3" s="76"/>
      <c r="Y3" s="76"/>
      <c r="Z3" s="76"/>
      <c r="AA3" s="76"/>
      <c r="AB3" s="97"/>
    </row>
    <row r="4" spans="1:28" ht="15" customHeight="1">
      <c r="A4" s="98"/>
      <c r="B4" s="99"/>
      <c r="C4" s="99"/>
      <c r="D4" s="99"/>
      <c r="E4" s="99"/>
      <c r="F4" s="99"/>
      <c r="G4" s="99"/>
      <c r="H4" s="99"/>
      <c r="I4" s="99"/>
      <c r="J4" s="99"/>
      <c r="K4" s="99"/>
      <c r="L4" s="99"/>
      <c r="M4" s="99"/>
      <c r="N4" s="99"/>
      <c r="O4" s="99"/>
      <c r="P4" s="99"/>
      <c r="Q4" s="99"/>
      <c r="R4" s="99"/>
      <c r="S4" s="99"/>
      <c r="T4" s="99"/>
      <c r="U4" s="99"/>
      <c r="V4" s="99"/>
      <c r="W4" s="99"/>
      <c r="X4" s="99"/>
      <c r="Y4" s="99"/>
      <c r="Z4" s="99"/>
      <c r="AA4" s="99"/>
      <c r="AB4" s="100"/>
    </row>
    <row r="5" spans="1:28" ht="17.399999999999999">
      <c r="A5" s="101" t="s">
        <v>69</v>
      </c>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row>
    <row r="6" spans="1:28" s="2" customFormat="1"/>
    <row r="7" spans="1:28" s="2" customFormat="1"/>
    <row r="8" spans="1:28" s="2" customFormat="1" ht="17.399999999999999">
      <c r="A8" s="92" t="s">
        <v>70</v>
      </c>
      <c r="B8" s="93"/>
      <c r="C8" s="93"/>
      <c r="D8" s="93"/>
      <c r="E8" s="93"/>
      <c r="F8" s="93"/>
      <c r="G8" s="93"/>
      <c r="H8" s="93"/>
      <c r="I8" s="93"/>
      <c r="J8" s="93"/>
      <c r="K8" s="93"/>
      <c r="L8" s="93"/>
      <c r="M8" s="93"/>
      <c r="N8" s="93"/>
    </row>
    <row r="9" spans="1:28" s="2" customFormat="1">
      <c r="A9" s="13" t="s">
        <v>71</v>
      </c>
      <c r="B9" s="13" t="s">
        <v>72</v>
      </c>
      <c r="C9" s="13" t="s">
        <v>73</v>
      </c>
      <c r="D9" s="13" t="s">
        <v>74</v>
      </c>
      <c r="G9" s="102" t="s">
        <v>75</v>
      </c>
      <c r="H9" s="102"/>
      <c r="I9" s="102"/>
      <c r="J9" s="102"/>
      <c r="K9" s="102"/>
      <c r="L9" s="102"/>
      <c r="M9" s="102"/>
      <c r="N9" s="102"/>
    </row>
    <row r="10" spans="1:28" s="2" customFormat="1">
      <c r="A10" s="5" t="s">
        <v>76</v>
      </c>
      <c r="B10" s="5">
        <v>4</v>
      </c>
      <c r="C10" s="5">
        <v>4</v>
      </c>
      <c r="D10" s="5">
        <v>9</v>
      </c>
      <c r="G10" s="103" t="s">
        <v>77</v>
      </c>
      <c r="H10" s="103"/>
      <c r="I10" s="103"/>
      <c r="J10" s="103"/>
      <c r="K10" s="103" t="s">
        <v>78</v>
      </c>
      <c r="L10" s="103"/>
      <c r="M10" s="103"/>
      <c r="N10" s="103"/>
    </row>
    <row r="11" spans="1:28" s="2" customFormat="1">
      <c r="A11" s="5" t="s">
        <v>79</v>
      </c>
      <c r="B11" s="5">
        <v>5</v>
      </c>
      <c r="C11" s="5">
        <v>7</v>
      </c>
      <c r="D11" s="5">
        <v>10</v>
      </c>
      <c r="G11" s="88">
        <f>HLOOKUP("Bearings",B9:D12,3,FALSE)</f>
        <v>7</v>
      </c>
      <c r="H11" s="89"/>
      <c r="I11" s="89"/>
      <c r="J11" s="90"/>
      <c r="K11" s="88"/>
      <c r="L11" s="89"/>
      <c r="M11" s="89"/>
      <c r="N11" s="90"/>
    </row>
    <row r="12" spans="1:28" s="2" customFormat="1">
      <c r="A12" s="5" t="s">
        <v>80</v>
      </c>
      <c r="B12" s="5">
        <v>6</v>
      </c>
      <c r="C12" s="5">
        <v>8</v>
      </c>
      <c r="D12" s="5">
        <v>11</v>
      </c>
    </row>
    <row r="13" spans="1:28" s="2" customFormat="1">
      <c r="A13" s="5" t="s">
        <v>81</v>
      </c>
      <c r="B13" s="5">
        <v>4</v>
      </c>
      <c r="C13" s="5">
        <v>5</v>
      </c>
      <c r="D13" s="5">
        <v>10</v>
      </c>
    </row>
    <row r="14" spans="1:28" s="2" customFormat="1">
      <c r="A14" s="5" t="s">
        <v>82</v>
      </c>
      <c r="B14" s="5">
        <v>6</v>
      </c>
      <c r="C14" s="5">
        <v>9</v>
      </c>
      <c r="D14" s="5">
        <v>10</v>
      </c>
    </row>
    <row r="15" spans="1:28" s="2" customFormat="1">
      <c r="A15" s="5" t="s">
        <v>83</v>
      </c>
      <c r="B15" s="5">
        <v>8</v>
      </c>
      <c r="C15" s="5">
        <v>12</v>
      </c>
      <c r="D15" s="5">
        <v>18</v>
      </c>
    </row>
    <row r="16" spans="1:28" s="2" customFormat="1"/>
    <row r="17" spans="1:16" s="2" customFormat="1"/>
    <row r="18" spans="1:16" s="2" customFormat="1" ht="17.399999999999999">
      <c r="A18" s="91" t="s">
        <v>57</v>
      </c>
      <c r="B18" s="91"/>
      <c r="C18" s="91"/>
      <c r="D18" s="91"/>
      <c r="E18" s="91"/>
    </row>
    <row r="19" spans="1:16" s="2" customFormat="1">
      <c r="A19" s="13" t="s">
        <v>8</v>
      </c>
      <c r="B19" s="5">
        <v>10000</v>
      </c>
      <c r="C19" s="5">
        <v>20000</v>
      </c>
      <c r="D19" s="5">
        <v>30000</v>
      </c>
      <c r="E19" s="5">
        <v>40000</v>
      </c>
    </row>
    <row r="20" spans="1:16" s="2" customFormat="1">
      <c r="A20" s="13" t="s">
        <v>84</v>
      </c>
      <c r="B20" s="14">
        <v>0.05</v>
      </c>
      <c r="C20" s="14">
        <v>7.0000000000000007E-2</v>
      </c>
      <c r="D20" s="14">
        <v>0.1</v>
      </c>
      <c r="E20" s="14">
        <v>0.15</v>
      </c>
    </row>
    <row r="21" spans="1:16" s="2" customFormat="1"/>
    <row r="22" spans="1:16" s="2" customFormat="1">
      <c r="A22" s="13" t="s">
        <v>85</v>
      </c>
      <c r="B22" s="13" t="s">
        <v>8</v>
      </c>
      <c r="C22" s="13" t="s">
        <v>84</v>
      </c>
    </row>
    <row r="23" spans="1:16" s="2" customFormat="1">
      <c r="A23" s="5" t="s">
        <v>86</v>
      </c>
      <c r="B23" s="5">
        <v>10000</v>
      </c>
      <c r="C23" s="10"/>
    </row>
    <row r="24" spans="1:16" s="2" customFormat="1">
      <c r="A24" s="5" t="s">
        <v>87</v>
      </c>
      <c r="B24" s="5">
        <v>15648</v>
      </c>
      <c r="C24" s="10"/>
    </row>
    <row r="25" spans="1:16" s="2" customFormat="1">
      <c r="A25" s="5" t="s">
        <v>88</v>
      </c>
      <c r="B25" s="5">
        <v>21002</v>
      </c>
      <c r="C25" s="10"/>
    </row>
    <row r="26" spans="1:16" s="2" customFormat="1">
      <c r="A26" s="5" t="s">
        <v>89</v>
      </c>
      <c r="B26" s="5">
        <v>30000</v>
      </c>
      <c r="C26" s="10"/>
    </row>
    <row r="27" spans="1:16" s="2" customFormat="1">
      <c r="A27" s="5" t="s">
        <v>90</v>
      </c>
      <c r="B27" s="5">
        <v>30010</v>
      </c>
      <c r="C27" s="10"/>
    </row>
    <row r="28" spans="1:16" s="2" customFormat="1">
      <c r="A28" s="5" t="s">
        <v>91</v>
      </c>
      <c r="B28" s="5">
        <v>10823</v>
      </c>
      <c r="C28" s="10"/>
    </row>
    <row r="29" spans="1:16" s="2" customFormat="1">
      <c r="A29" s="5" t="s">
        <v>92</v>
      </c>
      <c r="B29" s="5">
        <v>20934</v>
      </c>
      <c r="C29" s="10"/>
    </row>
    <row r="30" spans="1:16" s="2" customFormat="1">
      <c r="C30" s="15"/>
    </row>
    <row r="31" spans="1:16" s="2" customFormat="1">
      <c r="C31" s="15"/>
    </row>
    <row r="32" spans="1:16" ht="17.399999999999999">
      <c r="A32" s="92" t="s">
        <v>93</v>
      </c>
      <c r="B32" s="93"/>
      <c r="C32" s="93"/>
      <c r="D32" s="93"/>
      <c r="E32" s="93"/>
      <c r="F32" s="93"/>
      <c r="G32" s="93"/>
      <c r="H32" s="93"/>
      <c r="I32" s="93"/>
      <c r="J32" s="93"/>
      <c r="K32" s="93"/>
      <c r="L32" s="93"/>
      <c r="M32" s="93"/>
      <c r="N32" s="93"/>
      <c r="O32" s="93"/>
      <c r="P32" s="93"/>
    </row>
    <row r="33" spans="1:16">
      <c r="A33" s="13" t="s">
        <v>94</v>
      </c>
      <c r="B33" s="6" t="s">
        <v>95</v>
      </c>
      <c r="C33" s="6" t="s">
        <v>96</v>
      </c>
      <c r="D33" s="6" t="s">
        <v>97</v>
      </c>
      <c r="E33" s="6" t="s">
        <v>98</v>
      </c>
      <c r="F33" s="6" t="s">
        <v>99</v>
      </c>
      <c r="G33" s="6" t="s">
        <v>100</v>
      </c>
      <c r="H33" s="6" t="s">
        <v>101</v>
      </c>
      <c r="I33" s="6" t="s">
        <v>102</v>
      </c>
      <c r="J33" s="6" t="s">
        <v>103</v>
      </c>
      <c r="K33" s="6" t="s">
        <v>104</v>
      </c>
      <c r="L33" s="6" t="s">
        <v>105</v>
      </c>
      <c r="M33" s="6" t="s">
        <v>106</v>
      </c>
      <c r="N33" s="6" t="s">
        <v>107</v>
      </c>
      <c r="O33" s="6" t="s">
        <v>108</v>
      </c>
      <c r="P33" s="6" t="s">
        <v>109</v>
      </c>
    </row>
    <row r="34" spans="1:16">
      <c r="A34" s="13" t="s">
        <v>110</v>
      </c>
      <c r="B34" s="6" t="s">
        <v>111</v>
      </c>
      <c r="C34" s="6" t="s">
        <v>112</v>
      </c>
      <c r="D34" s="6" t="s">
        <v>113</v>
      </c>
      <c r="E34" s="6" t="s">
        <v>114</v>
      </c>
      <c r="F34" s="6" t="s">
        <v>115</v>
      </c>
      <c r="G34" s="6" t="s">
        <v>116</v>
      </c>
      <c r="H34" s="6" t="s">
        <v>117</v>
      </c>
      <c r="I34" s="6" t="s">
        <v>118</v>
      </c>
      <c r="J34" s="6" t="s">
        <v>119</v>
      </c>
      <c r="K34" s="6" t="s">
        <v>120</v>
      </c>
      <c r="L34" s="6" t="s">
        <v>121</v>
      </c>
      <c r="M34" s="6" t="s">
        <v>114</v>
      </c>
      <c r="N34" s="6" t="s">
        <v>111</v>
      </c>
      <c r="O34" s="6" t="s">
        <v>114</v>
      </c>
      <c r="P34" s="6" t="s">
        <v>112</v>
      </c>
    </row>
    <row r="35" spans="1:16">
      <c r="A35" s="13" t="s">
        <v>31</v>
      </c>
      <c r="B35" s="6">
        <v>23</v>
      </c>
      <c r="C35" s="6">
        <v>15</v>
      </c>
      <c r="D35" s="6">
        <v>26</v>
      </c>
      <c r="E35" s="6">
        <v>19</v>
      </c>
      <c r="F35" s="6">
        <v>20</v>
      </c>
      <c r="G35" s="6">
        <v>18</v>
      </c>
      <c r="H35" s="6">
        <v>23</v>
      </c>
      <c r="I35" s="6">
        <v>22</v>
      </c>
      <c r="J35" s="6">
        <v>26</v>
      </c>
      <c r="K35" s="6">
        <v>15</v>
      </c>
      <c r="L35" s="6">
        <v>21</v>
      </c>
      <c r="M35" s="6">
        <v>25</v>
      </c>
      <c r="N35" s="6">
        <v>29</v>
      </c>
      <c r="O35" s="6">
        <v>32</v>
      </c>
      <c r="P35" s="6">
        <v>28</v>
      </c>
    </row>
    <row r="37" spans="1:16">
      <c r="A37" t="s">
        <v>122</v>
      </c>
    </row>
    <row r="38" spans="1:16">
      <c r="A38" s="13" t="s">
        <v>31</v>
      </c>
      <c r="B38" s="13" t="s">
        <v>94</v>
      </c>
    </row>
    <row r="39" spans="1:16">
      <c r="A39" s="16">
        <v>30</v>
      </c>
      <c r="B39" s="16"/>
    </row>
    <row r="41" spans="1:16">
      <c r="A41" t="s">
        <v>123</v>
      </c>
    </row>
    <row r="42" spans="1:16">
      <c r="A42" s="13" t="s">
        <v>94</v>
      </c>
      <c r="B42" s="13" t="s">
        <v>110</v>
      </c>
    </row>
    <row r="43" spans="1:16">
      <c r="A43" s="16" t="s">
        <v>103</v>
      </c>
      <c r="B43" s="16"/>
    </row>
  </sheetData>
  <mergeCells count="10">
    <mergeCell ref="G11:J11"/>
    <mergeCell ref="K11:N11"/>
    <mergeCell ref="A18:E18"/>
    <mergeCell ref="A32:P32"/>
    <mergeCell ref="A1:AB4"/>
    <mergeCell ref="A5:AB5"/>
    <mergeCell ref="A8:N8"/>
    <mergeCell ref="G9:N9"/>
    <mergeCell ref="G10:J10"/>
    <mergeCell ref="K10:N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0AC3-50B7-4E00-A6DD-4729CB08E467}">
  <dimension ref="A1:AC32"/>
  <sheetViews>
    <sheetView showGridLines="0" topLeftCell="A2" workbookViewId="0">
      <selection activeCell="J10" sqref="J8:O20"/>
    </sheetView>
  </sheetViews>
  <sheetFormatPr baseColWidth="10" defaultColWidth="9.109375" defaultRowHeight="14.4"/>
  <cols>
    <col min="1" max="1" width="16.33203125" style="2" customWidth="1"/>
    <col min="2" max="2" width="10" style="2" bestFit="1" customWidth="1"/>
    <col min="3" max="3" width="13.5546875" style="2" bestFit="1" customWidth="1"/>
    <col min="4" max="4" width="7.109375" style="2" bestFit="1" customWidth="1"/>
    <col min="5" max="5" width="10" style="2" bestFit="1" customWidth="1"/>
    <col min="6" max="6" width="21.109375" style="2" bestFit="1" customWidth="1"/>
    <col min="7" max="9" width="9.109375" style="2"/>
    <col min="10" max="10" width="11.109375" bestFit="1" customWidth="1"/>
    <col min="11" max="11" width="14.44140625" bestFit="1" customWidth="1"/>
    <col min="12" max="12" width="7.5546875" bestFit="1" customWidth="1"/>
    <col min="13" max="13" width="9"/>
    <col min="14" max="14" width="10.5546875" customWidth="1"/>
    <col min="15" max="15" width="15.88671875" customWidth="1"/>
    <col min="16" max="16384" width="9.109375" style="2"/>
  </cols>
  <sheetData>
    <row r="1" spans="1:29" customFormat="1" ht="15" customHeight="1">
      <c r="A1" s="94" t="s">
        <v>33</v>
      </c>
      <c r="B1" s="95"/>
      <c r="C1" s="95"/>
      <c r="D1" s="95"/>
      <c r="E1" s="95"/>
      <c r="F1" s="95"/>
      <c r="G1" s="95"/>
      <c r="H1" s="95"/>
      <c r="I1" s="95"/>
      <c r="J1" s="95"/>
      <c r="K1" s="95"/>
      <c r="L1" s="95"/>
      <c r="M1" s="95"/>
      <c r="N1" s="95"/>
      <c r="O1" s="95"/>
      <c r="P1" s="95"/>
      <c r="Q1" s="95"/>
      <c r="R1" s="95"/>
      <c r="S1" s="95"/>
      <c r="T1" s="95"/>
      <c r="U1" s="95"/>
      <c r="V1" s="95"/>
      <c r="W1" s="95"/>
      <c r="X1" s="95"/>
      <c r="Y1" s="95"/>
      <c r="Z1" s="95"/>
      <c r="AA1" s="95"/>
      <c r="AB1" s="96"/>
      <c r="AC1" s="94"/>
    </row>
    <row r="2" spans="1:29" customFormat="1" ht="15" customHeight="1">
      <c r="A2" s="75"/>
      <c r="B2" s="76"/>
      <c r="C2" s="76"/>
      <c r="D2" s="76"/>
      <c r="E2" s="76"/>
      <c r="F2" s="76"/>
      <c r="G2" s="76"/>
      <c r="H2" s="76"/>
      <c r="I2" s="76"/>
      <c r="J2" s="76"/>
      <c r="K2" s="76"/>
      <c r="L2" s="76"/>
      <c r="M2" s="76"/>
      <c r="N2" s="76"/>
      <c r="O2" s="76"/>
      <c r="P2" s="76"/>
      <c r="Q2" s="76"/>
      <c r="R2" s="76"/>
      <c r="S2" s="76"/>
      <c r="T2" s="76"/>
      <c r="U2" s="76"/>
      <c r="V2" s="76"/>
      <c r="W2" s="76"/>
      <c r="X2" s="76"/>
      <c r="Y2" s="76"/>
      <c r="Z2" s="76"/>
      <c r="AA2" s="76"/>
      <c r="AB2" s="97"/>
      <c r="AC2" s="75"/>
    </row>
    <row r="3" spans="1:29" customFormat="1" ht="15" customHeight="1">
      <c r="A3" s="75"/>
      <c r="B3" s="76"/>
      <c r="C3" s="76"/>
      <c r="D3" s="76"/>
      <c r="E3" s="76"/>
      <c r="F3" s="76"/>
      <c r="G3" s="76"/>
      <c r="H3" s="76"/>
      <c r="I3" s="76"/>
      <c r="J3" s="76"/>
      <c r="K3" s="76"/>
      <c r="L3" s="76"/>
      <c r="M3" s="76"/>
      <c r="N3" s="76"/>
      <c r="O3" s="76"/>
      <c r="P3" s="76"/>
      <c r="Q3" s="76"/>
      <c r="R3" s="76"/>
      <c r="S3" s="76"/>
      <c r="T3" s="76"/>
      <c r="U3" s="76"/>
      <c r="V3" s="76"/>
      <c r="W3" s="76"/>
      <c r="X3" s="76"/>
      <c r="Y3" s="76"/>
      <c r="Z3" s="76"/>
      <c r="AA3" s="76"/>
      <c r="AB3" s="97"/>
      <c r="AC3" s="75"/>
    </row>
    <row r="4" spans="1:29" customFormat="1" ht="15" customHeight="1">
      <c r="A4" s="98"/>
      <c r="B4" s="99"/>
      <c r="C4" s="99"/>
      <c r="D4" s="99"/>
      <c r="E4" s="99"/>
      <c r="F4" s="99"/>
      <c r="G4" s="99"/>
      <c r="H4" s="99"/>
      <c r="I4" s="99"/>
      <c r="J4" s="99"/>
      <c r="K4" s="99"/>
      <c r="L4" s="99"/>
      <c r="M4" s="99"/>
      <c r="N4" s="99"/>
      <c r="O4" s="99"/>
      <c r="P4" s="99"/>
      <c r="Q4" s="99"/>
      <c r="R4" s="99"/>
      <c r="S4" s="99"/>
      <c r="T4" s="99"/>
      <c r="U4" s="99"/>
      <c r="V4" s="99"/>
      <c r="W4" s="99"/>
      <c r="X4" s="99"/>
      <c r="Y4" s="99"/>
      <c r="Z4" s="99"/>
      <c r="AA4" s="99"/>
      <c r="AB4" s="100"/>
      <c r="AC4" s="98"/>
    </row>
    <row r="5" spans="1:29" customFormat="1" ht="17.399999999999999">
      <c r="A5" s="101" t="s">
        <v>34</v>
      </c>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7"/>
    </row>
    <row r="8" spans="1:29" ht="17.399999999999999">
      <c r="A8" s="106" t="s">
        <v>35</v>
      </c>
      <c r="B8" s="107"/>
      <c r="C8" s="107"/>
      <c r="D8" s="107"/>
      <c r="E8" s="107"/>
      <c r="F8" s="107"/>
      <c r="J8" s="106" t="s">
        <v>36</v>
      </c>
      <c r="K8" s="107"/>
      <c r="L8" s="107"/>
      <c r="M8" s="107"/>
      <c r="N8" s="107"/>
      <c r="O8" s="107"/>
    </row>
    <row r="9" spans="1:29">
      <c r="A9" s="3" t="s">
        <v>37</v>
      </c>
      <c r="B9" s="3" t="s">
        <v>38</v>
      </c>
      <c r="C9" s="3" t="s">
        <v>39</v>
      </c>
      <c r="E9" s="3" t="s">
        <v>37</v>
      </c>
      <c r="F9" s="4" t="s">
        <v>40</v>
      </c>
      <c r="J9" s="3" t="s">
        <v>41</v>
      </c>
      <c r="K9" s="3" t="s">
        <v>42</v>
      </c>
      <c r="L9" s="3" t="s">
        <v>43</v>
      </c>
      <c r="M9" s="2"/>
      <c r="N9" s="2"/>
      <c r="O9" s="2"/>
    </row>
    <row r="10" spans="1:29">
      <c r="A10" s="5" t="s">
        <v>40</v>
      </c>
      <c r="B10" s="5">
        <v>1996</v>
      </c>
      <c r="C10" s="5">
        <v>5</v>
      </c>
      <c r="J10" s="6">
        <v>54821</v>
      </c>
      <c r="K10" s="6" t="s">
        <v>44</v>
      </c>
      <c r="L10" s="7">
        <v>0.25</v>
      </c>
      <c r="M10" s="2"/>
      <c r="N10" s="2" t="s">
        <v>45</v>
      </c>
      <c r="O10" s="2"/>
    </row>
    <row r="11" spans="1:29">
      <c r="A11" s="5" t="s">
        <v>46</v>
      </c>
      <c r="B11" s="5">
        <v>1997</v>
      </c>
      <c r="C11" s="5">
        <v>4</v>
      </c>
      <c r="E11" s="3" t="s">
        <v>38</v>
      </c>
      <c r="F11" s="18">
        <f>VLOOKUP(F9,A10:C14,2,FALSE)</f>
        <v>1996</v>
      </c>
      <c r="J11" s="6">
        <v>542</v>
      </c>
      <c r="K11" s="6" t="s">
        <v>47</v>
      </c>
      <c r="L11" s="7">
        <v>0.66</v>
      </c>
      <c r="M11" s="2"/>
      <c r="N11" s="2"/>
      <c r="O11" s="2"/>
    </row>
    <row r="12" spans="1:29">
      <c r="A12" s="5" t="s">
        <v>48</v>
      </c>
      <c r="B12" s="5">
        <v>1999</v>
      </c>
      <c r="C12" s="5">
        <v>1</v>
      </c>
      <c r="E12" s="3" t="s">
        <v>39</v>
      </c>
      <c r="F12" s="18">
        <f>VLOOKUP(F9,A10:C14,3,FALSE)</f>
        <v>5</v>
      </c>
      <c r="J12" s="6">
        <v>541258</v>
      </c>
      <c r="K12" s="6" t="s">
        <v>49</v>
      </c>
      <c r="L12" s="7">
        <v>0.85</v>
      </c>
      <c r="M12" s="2"/>
      <c r="N12" s="3" t="s">
        <v>43</v>
      </c>
      <c r="O12" s="3" t="s">
        <v>42</v>
      </c>
    </row>
    <row r="13" spans="1:29">
      <c r="A13" s="5" t="s">
        <v>50</v>
      </c>
      <c r="B13" s="5">
        <v>1995</v>
      </c>
      <c r="C13" s="5">
        <v>2</v>
      </c>
      <c r="J13" s="6">
        <v>5457</v>
      </c>
      <c r="K13" s="6" t="s">
        <v>51</v>
      </c>
      <c r="L13" s="7">
        <v>0.92</v>
      </c>
      <c r="M13" s="2"/>
      <c r="N13" s="8">
        <v>1</v>
      </c>
      <c r="O13" s="5" t="e">
        <f>VLOOKUP(N13,$J$10:$L$20,2,FALSE )</f>
        <v>#N/A</v>
      </c>
    </row>
    <row r="14" spans="1:29">
      <c r="A14" s="5" t="s">
        <v>52</v>
      </c>
      <c r="B14" s="5">
        <v>1992</v>
      </c>
      <c r="C14" s="5">
        <v>3</v>
      </c>
      <c r="J14" s="6">
        <v>541328</v>
      </c>
      <c r="K14" s="6" t="s">
        <v>53</v>
      </c>
      <c r="L14" s="7">
        <v>0.96</v>
      </c>
      <c r="M14" s="2"/>
      <c r="N14" s="2"/>
      <c r="O14" s="2"/>
    </row>
    <row r="15" spans="1:29">
      <c r="J15" s="6">
        <v>545205</v>
      </c>
      <c r="K15" s="6" t="s">
        <v>54</v>
      </c>
      <c r="L15" s="7">
        <v>1.23</v>
      </c>
      <c r="M15" s="2"/>
      <c r="N15" s="2"/>
      <c r="O15" s="2"/>
    </row>
    <row r="16" spans="1:29">
      <c r="J16" s="6">
        <v>1237883</v>
      </c>
      <c r="K16" s="6" t="s">
        <v>55</v>
      </c>
      <c r="L16" s="7">
        <v>1.25</v>
      </c>
      <c r="M16" s="2"/>
      <c r="N16" s="2"/>
      <c r="O16" s="2"/>
    </row>
    <row r="17" spans="1:15">
      <c r="J17" s="6">
        <v>5442</v>
      </c>
      <c r="K17" s="6" t="s">
        <v>56</v>
      </c>
      <c r="L17" s="7">
        <v>1.3</v>
      </c>
      <c r="M17" s="2"/>
      <c r="N17" s="2"/>
      <c r="O17" s="2"/>
    </row>
    <row r="18" spans="1:15" ht="17.399999999999999">
      <c r="A18" s="106" t="s">
        <v>57</v>
      </c>
      <c r="B18" s="107"/>
      <c r="C18" s="107"/>
      <c r="D18" s="107"/>
      <c r="E18" s="107"/>
      <c r="F18" s="107"/>
      <c r="J18" s="6">
        <v>97520</v>
      </c>
      <c r="K18" s="6" t="s">
        <v>58</v>
      </c>
      <c r="L18" s="7">
        <v>1.4</v>
      </c>
      <c r="M18" s="2"/>
      <c r="N18" s="2"/>
      <c r="O18" s="2"/>
    </row>
    <row r="19" spans="1:15" ht="28.5" customHeight="1">
      <c r="A19" s="3" t="s">
        <v>59</v>
      </c>
      <c r="B19" s="3" t="s">
        <v>60</v>
      </c>
      <c r="C19" s="3" t="s">
        <v>61</v>
      </c>
      <c r="E19" s="104" t="s">
        <v>62</v>
      </c>
      <c r="F19" s="105"/>
      <c r="J19" s="6">
        <v>34587</v>
      </c>
      <c r="K19" s="6" t="s">
        <v>63</v>
      </c>
      <c r="L19" s="7">
        <v>1.7</v>
      </c>
      <c r="M19" s="2"/>
      <c r="N19" s="2"/>
      <c r="O19" s="2"/>
    </row>
    <row r="20" spans="1:15">
      <c r="A20" s="5">
        <v>10011</v>
      </c>
      <c r="B20" s="9">
        <v>1106</v>
      </c>
      <c r="C20" s="64">
        <f>VLOOKUP(B20,$E$21:$F$26,2,TRUE)</f>
        <v>0.12</v>
      </c>
      <c r="E20" s="3" t="s">
        <v>64</v>
      </c>
      <c r="F20" s="3" t="s">
        <v>65</v>
      </c>
      <c r="J20" s="6">
        <v>54545</v>
      </c>
      <c r="K20" s="6" t="s">
        <v>66</v>
      </c>
      <c r="L20" s="7">
        <v>1.8</v>
      </c>
      <c r="M20" s="2"/>
      <c r="N20" s="2"/>
      <c r="O20" s="2"/>
    </row>
    <row r="21" spans="1:15">
      <c r="A21" s="5">
        <v>10012</v>
      </c>
      <c r="B21" s="9">
        <v>188</v>
      </c>
      <c r="C21" s="64">
        <f>VLOOKUP(B21,$E$21:$F$26,2,TRUE)</f>
        <v>0.02</v>
      </c>
      <c r="E21" s="11">
        <v>0</v>
      </c>
      <c r="F21" s="12">
        <v>0</v>
      </c>
    </row>
    <row r="22" spans="1:15">
      <c r="A22" s="5">
        <v>10013</v>
      </c>
      <c r="B22" s="9">
        <v>722</v>
      </c>
      <c r="C22" s="64">
        <f t="shared" ref="C22:C30" si="0">VLOOKUP(B22,$E$21:$F$26,2,TRUE)</f>
        <v>0.05</v>
      </c>
      <c r="E22" s="11">
        <v>100</v>
      </c>
      <c r="F22" s="12">
        <v>0.02</v>
      </c>
    </row>
    <row r="23" spans="1:15">
      <c r="A23" s="5">
        <v>10014</v>
      </c>
      <c r="B23" s="9">
        <v>782</v>
      </c>
      <c r="C23" s="64">
        <f t="shared" si="0"/>
        <v>0.1</v>
      </c>
      <c r="E23" s="11">
        <v>200</v>
      </c>
      <c r="F23" s="12">
        <v>0.03</v>
      </c>
    </row>
    <row r="24" spans="1:15">
      <c r="A24" s="5">
        <v>10015</v>
      </c>
      <c r="B24" s="9">
        <v>449</v>
      </c>
      <c r="C24" s="64">
        <f t="shared" si="0"/>
        <v>0.03</v>
      </c>
      <c r="E24" s="11">
        <v>500</v>
      </c>
      <c r="F24" s="12">
        <v>0.05</v>
      </c>
    </row>
    <row r="25" spans="1:15">
      <c r="A25" s="5">
        <v>10016</v>
      </c>
      <c r="B25" s="9">
        <v>64</v>
      </c>
      <c r="C25" s="64">
        <f t="shared" si="0"/>
        <v>0</v>
      </c>
      <c r="E25" s="11">
        <v>750</v>
      </c>
      <c r="F25" s="12">
        <v>0.1</v>
      </c>
    </row>
    <row r="26" spans="1:15">
      <c r="A26" s="5">
        <v>10017</v>
      </c>
      <c r="B26" s="9">
        <v>50</v>
      </c>
      <c r="C26" s="64">
        <f t="shared" si="0"/>
        <v>0</v>
      </c>
      <c r="E26" s="11">
        <v>1000</v>
      </c>
      <c r="F26" s="12">
        <v>0.12</v>
      </c>
    </row>
    <row r="27" spans="1:15">
      <c r="A27" s="5">
        <v>10018</v>
      </c>
      <c r="B27" s="9">
        <v>460</v>
      </c>
      <c r="C27" s="64">
        <f t="shared" si="0"/>
        <v>0.03</v>
      </c>
    </row>
    <row r="28" spans="1:15">
      <c r="A28" s="5">
        <v>10019</v>
      </c>
      <c r="B28" s="9">
        <v>879</v>
      </c>
      <c r="C28" s="64">
        <f t="shared" si="0"/>
        <v>0.1</v>
      </c>
    </row>
    <row r="29" spans="1:15">
      <c r="A29" s="5">
        <v>10020</v>
      </c>
      <c r="B29" s="9">
        <v>524</v>
      </c>
      <c r="C29" s="64">
        <f t="shared" si="0"/>
        <v>0.05</v>
      </c>
    </row>
    <row r="30" spans="1:15">
      <c r="A30" s="5">
        <v>10021</v>
      </c>
      <c r="B30" s="9">
        <v>150</v>
      </c>
      <c r="C30" s="64">
        <f t="shared" si="0"/>
        <v>0.02</v>
      </c>
    </row>
    <row r="32" spans="1:15">
      <c r="A32" s="2" t="s">
        <v>67</v>
      </c>
    </row>
  </sheetData>
  <sortState xmlns:xlrd2="http://schemas.microsoft.com/office/spreadsheetml/2017/richdata2" ref="E21:F26">
    <sortCondition ref="E21:E26"/>
  </sortState>
  <mergeCells count="7">
    <mergeCell ref="E19:F19"/>
    <mergeCell ref="A1:AB4"/>
    <mergeCell ref="AC1:AC4"/>
    <mergeCell ref="A5:AB5"/>
    <mergeCell ref="A8:F8"/>
    <mergeCell ref="J8:O8"/>
    <mergeCell ref="A18:F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B11A-114F-4887-BB00-51E09D3585E5}">
  <dimension ref="G2"/>
  <sheetViews>
    <sheetView showGridLines="0" workbookViewId="0"/>
  </sheetViews>
  <sheetFormatPr baseColWidth="10" defaultColWidth="8.88671875" defaultRowHeight="14.4"/>
  <sheetData>
    <row r="2" spans="7:7">
      <c r="G2" s="71" t="s">
        <v>277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8281E-03B4-4911-9E55-36BE061E749A}">
  <dimension ref="B2:C70"/>
  <sheetViews>
    <sheetView topLeftCell="A7" workbookViewId="0">
      <selection activeCell="D25" sqref="D25:I40"/>
    </sheetView>
  </sheetViews>
  <sheetFormatPr baseColWidth="10" defaultColWidth="8.88671875" defaultRowHeight="14.4"/>
  <cols>
    <col min="1" max="2" width="13.44140625" bestFit="1" customWidth="1"/>
    <col min="3" max="3" width="12.5546875" bestFit="1" customWidth="1"/>
    <col min="4" max="8" width="10.5546875" bestFit="1" customWidth="1"/>
    <col min="9" max="9" width="11.5546875" bestFit="1" customWidth="1"/>
  </cols>
  <sheetData>
    <row r="2" spans="2:3">
      <c r="B2" s="108" t="s">
        <v>262</v>
      </c>
      <c r="C2" s="108"/>
    </row>
    <row r="3" spans="2:3">
      <c r="B3" s="47" t="s">
        <v>222</v>
      </c>
      <c r="C3" t="s">
        <v>224</v>
      </c>
    </row>
    <row r="4" spans="2:3">
      <c r="B4" s="48" t="s">
        <v>21</v>
      </c>
      <c r="C4" s="49">
        <v>8709</v>
      </c>
    </row>
    <row r="5" spans="2:3">
      <c r="B5" s="48" t="s">
        <v>16</v>
      </c>
      <c r="C5" s="49">
        <v>5086</v>
      </c>
    </row>
    <row r="6" spans="2:3">
      <c r="B6" s="48" t="s">
        <v>12</v>
      </c>
      <c r="C6" s="49">
        <v>8873</v>
      </c>
    </row>
    <row r="7" spans="2:3">
      <c r="B7" s="48" t="s">
        <v>23</v>
      </c>
      <c r="C7" s="49">
        <v>3730</v>
      </c>
    </row>
    <row r="8" spans="2:3">
      <c r="B8" s="48" t="s">
        <v>223</v>
      </c>
      <c r="C8" s="49">
        <v>26398</v>
      </c>
    </row>
    <row r="10" spans="2:3">
      <c r="B10" s="108" t="s">
        <v>263</v>
      </c>
      <c r="C10" s="108"/>
    </row>
    <row r="11" spans="2:3">
      <c r="B11" s="47" t="s">
        <v>222</v>
      </c>
      <c r="C11" t="s">
        <v>224</v>
      </c>
    </row>
    <row r="12" spans="2:3">
      <c r="B12" s="48" t="s">
        <v>13</v>
      </c>
      <c r="C12" s="49">
        <v>7834</v>
      </c>
    </row>
    <row r="13" spans="2:3">
      <c r="B13" s="48" t="s">
        <v>24</v>
      </c>
      <c r="C13" s="49">
        <v>4591</v>
      </c>
    </row>
    <row r="14" spans="2:3">
      <c r="B14" s="48" t="s">
        <v>22</v>
      </c>
      <c r="C14" s="49">
        <v>4438</v>
      </c>
    </row>
    <row r="15" spans="2:3">
      <c r="B15" s="48" t="s">
        <v>17</v>
      </c>
      <c r="C15" s="49">
        <v>4076</v>
      </c>
    </row>
    <row r="16" spans="2:3">
      <c r="B16" s="48" t="s">
        <v>20</v>
      </c>
      <c r="C16" s="49">
        <v>3799</v>
      </c>
    </row>
    <row r="17" spans="2:3">
      <c r="B17" s="48" t="s">
        <v>9</v>
      </c>
      <c r="C17" s="49">
        <v>1660</v>
      </c>
    </row>
    <row r="18" spans="2:3">
      <c r="B18" s="48" t="s">
        <v>223</v>
      </c>
      <c r="C18" s="49">
        <v>26398</v>
      </c>
    </row>
    <row r="19" spans="2:3">
      <c r="B19" s="48"/>
      <c r="C19" s="49"/>
    </row>
    <row r="20" spans="2:3">
      <c r="B20" s="108" t="s">
        <v>264</v>
      </c>
      <c r="C20" s="108"/>
    </row>
    <row r="21" spans="2:3">
      <c r="B21" s="47" t="s">
        <v>222</v>
      </c>
      <c r="C21" t="s">
        <v>224</v>
      </c>
    </row>
    <row r="22" spans="2:3">
      <c r="B22" s="48" t="s">
        <v>227</v>
      </c>
      <c r="C22" s="49">
        <v>3447</v>
      </c>
    </row>
    <row r="23" spans="2:3">
      <c r="B23" s="50" t="s">
        <v>265</v>
      </c>
      <c r="C23" s="49">
        <v>217</v>
      </c>
    </row>
    <row r="24" spans="2:3">
      <c r="B24" s="50" t="s">
        <v>266</v>
      </c>
      <c r="C24" s="49">
        <v>186</v>
      </c>
    </row>
    <row r="25" spans="2:3">
      <c r="B25" s="50" t="s">
        <v>267</v>
      </c>
      <c r="C25" s="49">
        <v>232</v>
      </c>
    </row>
    <row r="26" spans="2:3">
      <c r="B26" s="50" t="s">
        <v>268</v>
      </c>
      <c r="C26" s="49">
        <v>328</v>
      </c>
    </row>
    <row r="27" spans="2:3">
      <c r="B27" s="50" t="s">
        <v>269</v>
      </c>
      <c r="C27" s="49">
        <v>199</v>
      </c>
    </row>
    <row r="28" spans="2:3">
      <c r="B28" s="50" t="s">
        <v>270</v>
      </c>
      <c r="C28" s="49">
        <v>213</v>
      </c>
    </row>
    <row r="29" spans="2:3">
      <c r="B29" s="50" t="s">
        <v>271</v>
      </c>
      <c r="C29" s="49">
        <v>187</v>
      </c>
    </row>
    <row r="30" spans="2:3">
      <c r="B30" s="50" t="s">
        <v>272</v>
      </c>
      <c r="C30" s="49">
        <v>277</v>
      </c>
    </row>
    <row r="31" spans="2:3">
      <c r="B31" s="50" t="s">
        <v>273</v>
      </c>
      <c r="C31" s="49">
        <v>405</v>
      </c>
    </row>
    <row r="32" spans="2:3">
      <c r="B32" s="50" t="s">
        <v>274</v>
      </c>
      <c r="C32" s="49">
        <v>355</v>
      </c>
    </row>
    <row r="33" spans="2:3">
      <c r="B33" s="50" t="s">
        <v>275</v>
      </c>
      <c r="C33" s="49">
        <v>331</v>
      </c>
    </row>
    <row r="34" spans="2:3">
      <c r="B34" s="50" t="s">
        <v>276</v>
      </c>
      <c r="C34" s="49">
        <v>517</v>
      </c>
    </row>
    <row r="35" spans="2:3">
      <c r="B35" s="48" t="s">
        <v>228</v>
      </c>
      <c r="C35" s="49">
        <v>6591</v>
      </c>
    </row>
    <row r="36" spans="2:3">
      <c r="B36" s="50" t="s">
        <v>265</v>
      </c>
      <c r="C36" s="49">
        <v>516</v>
      </c>
    </row>
    <row r="37" spans="2:3">
      <c r="B37" s="50" t="s">
        <v>266</v>
      </c>
      <c r="C37" s="49">
        <v>438</v>
      </c>
    </row>
    <row r="38" spans="2:3">
      <c r="B38" s="50" t="s">
        <v>267</v>
      </c>
      <c r="C38" s="49">
        <v>568</v>
      </c>
    </row>
    <row r="39" spans="2:3">
      <c r="B39" s="50" t="s">
        <v>268</v>
      </c>
      <c r="C39" s="49">
        <v>383</v>
      </c>
    </row>
    <row r="40" spans="2:3">
      <c r="B40" s="50" t="s">
        <v>269</v>
      </c>
      <c r="C40" s="49">
        <v>525</v>
      </c>
    </row>
    <row r="41" spans="2:3">
      <c r="B41" s="50" t="s">
        <v>270</v>
      </c>
      <c r="C41" s="49">
        <v>579</v>
      </c>
    </row>
    <row r="42" spans="2:3">
      <c r="B42" s="50" t="s">
        <v>271</v>
      </c>
      <c r="C42" s="49">
        <v>506</v>
      </c>
    </row>
    <row r="43" spans="2:3">
      <c r="B43" s="50" t="s">
        <v>272</v>
      </c>
      <c r="C43" s="49">
        <v>624</v>
      </c>
    </row>
    <row r="44" spans="2:3">
      <c r="B44" s="50" t="s">
        <v>273</v>
      </c>
      <c r="C44" s="49">
        <v>467</v>
      </c>
    </row>
    <row r="45" spans="2:3">
      <c r="B45" s="50" t="s">
        <v>274</v>
      </c>
      <c r="C45" s="49">
        <v>651</v>
      </c>
    </row>
    <row r="46" spans="2:3">
      <c r="B46" s="50" t="s">
        <v>275</v>
      </c>
      <c r="C46" s="49">
        <v>609</v>
      </c>
    </row>
    <row r="47" spans="2:3">
      <c r="B47" s="50" t="s">
        <v>276</v>
      </c>
      <c r="C47" s="49">
        <v>725</v>
      </c>
    </row>
    <row r="48" spans="2:3">
      <c r="B48" s="48" t="s">
        <v>229</v>
      </c>
      <c r="C48" s="49">
        <v>9028</v>
      </c>
    </row>
    <row r="49" spans="2:3">
      <c r="B49" s="50" t="s">
        <v>265</v>
      </c>
      <c r="C49" s="49">
        <v>859</v>
      </c>
    </row>
    <row r="50" spans="2:3">
      <c r="B50" s="50" t="s">
        <v>266</v>
      </c>
      <c r="C50" s="49">
        <v>498</v>
      </c>
    </row>
    <row r="51" spans="2:3">
      <c r="B51" s="50" t="s">
        <v>267</v>
      </c>
      <c r="C51" s="49">
        <v>740</v>
      </c>
    </row>
    <row r="52" spans="2:3">
      <c r="B52" s="50" t="s">
        <v>268</v>
      </c>
      <c r="C52" s="49">
        <v>818</v>
      </c>
    </row>
    <row r="53" spans="2:3">
      <c r="B53" s="50" t="s">
        <v>269</v>
      </c>
      <c r="C53" s="49">
        <v>425</v>
      </c>
    </row>
    <row r="54" spans="2:3">
      <c r="B54" s="50" t="s">
        <v>270</v>
      </c>
      <c r="C54" s="49">
        <v>785</v>
      </c>
    </row>
    <row r="55" spans="2:3">
      <c r="B55" s="50" t="s">
        <v>271</v>
      </c>
      <c r="C55" s="49">
        <v>591</v>
      </c>
    </row>
    <row r="56" spans="2:3">
      <c r="B56" s="50" t="s">
        <v>272</v>
      </c>
      <c r="C56" s="49">
        <v>667</v>
      </c>
    </row>
    <row r="57" spans="2:3">
      <c r="B57" s="50" t="s">
        <v>273</v>
      </c>
      <c r="C57" s="49">
        <v>730</v>
      </c>
    </row>
    <row r="58" spans="2:3">
      <c r="B58" s="50" t="s">
        <v>274</v>
      </c>
      <c r="C58" s="49">
        <v>875</v>
      </c>
    </row>
    <row r="59" spans="2:3">
      <c r="B59" s="50" t="s">
        <v>275</v>
      </c>
      <c r="C59" s="49">
        <v>806</v>
      </c>
    </row>
    <row r="60" spans="2:3">
      <c r="B60" s="50" t="s">
        <v>276</v>
      </c>
      <c r="C60" s="49">
        <v>1234</v>
      </c>
    </row>
    <row r="61" spans="2:3">
      <c r="B61" s="48" t="s">
        <v>230</v>
      </c>
      <c r="C61" s="49">
        <v>7332</v>
      </c>
    </row>
    <row r="62" spans="2:3">
      <c r="B62" s="50" t="s">
        <v>265</v>
      </c>
      <c r="C62" s="49">
        <v>982</v>
      </c>
    </row>
    <row r="63" spans="2:3">
      <c r="B63" s="50" t="s">
        <v>266</v>
      </c>
      <c r="C63" s="49">
        <v>989</v>
      </c>
    </row>
    <row r="64" spans="2:3">
      <c r="B64" s="50" t="s">
        <v>267</v>
      </c>
      <c r="C64" s="49">
        <v>824</v>
      </c>
    </row>
    <row r="65" spans="2:3">
      <c r="B65" s="50" t="s">
        <v>268</v>
      </c>
      <c r="C65" s="49">
        <v>1300</v>
      </c>
    </row>
    <row r="66" spans="2:3">
      <c r="B66" s="50" t="s">
        <v>269</v>
      </c>
      <c r="C66" s="49">
        <v>1247</v>
      </c>
    </row>
    <row r="67" spans="2:3">
      <c r="B67" s="50" t="s">
        <v>270</v>
      </c>
      <c r="C67" s="49">
        <v>773</v>
      </c>
    </row>
    <row r="68" spans="2:3">
      <c r="B68" s="50" t="s">
        <v>271</v>
      </c>
      <c r="C68" s="49">
        <v>1001</v>
      </c>
    </row>
    <row r="69" spans="2:3">
      <c r="B69" s="50" t="s">
        <v>272</v>
      </c>
      <c r="C69" s="49">
        <v>216</v>
      </c>
    </row>
    <row r="70" spans="2:3">
      <c r="B70" s="48" t="s">
        <v>223</v>
      </c>
      <c r="C70" s="49">
        <v>26398</v>
      </c>
    </row>
  </sheetData>
  <mergeCells count="3">
    <mergeCell ref="B2:C2"/>
    <mergeCell ref="B10:C10"/>
    <mergeCell ref="B20:C20"/>
  </mergeCells>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509EF9-A3F4-4488-A8EA-64689603F3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TableSales</vt:lpstr>
      <vt:lpstr>Main Database</vt:lpstr>
      <vt:lpstr>Text to Columns</vt:lpstr>
      <vt:lpstr>Sheet1</vt:lpstr>
      <vt:lpstr>Vlookup</vt:lpstr>
      <vt:lpstr>Dashboards</vt:lpstr>
      <vt:lpstr>Calculus_DB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Brayan Castillo</dc:creator>
  <cp:keywords/>
  <dc:description/>
  <cp:lastModifiedBy>Sebastián Morales</cp:lastModifiedBy>
  <cp:revision/>
  <dcterms:created xsi:type="dcterms:W3CDTF">2024-06-17T14:43:44Z</dcterms:created>
  <dcterms:modified xsi:type="dcterms:W3CDTF">2026-03-22T05:20:47Z</dcterms:modified>
  <cp:category/>
  <cp:contentStatus/>
</cp:coreProperties>
</file>